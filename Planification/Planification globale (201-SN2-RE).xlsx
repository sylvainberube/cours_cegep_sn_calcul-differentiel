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ropbox\A Sylvain Bérubé\A-4 Enseignement\GitHub\cours_cegep_sn_calcul-differentiel\Planification\"/>
    </mc:Choice>
  </mc:AlternateContent>
  <xr:revisionPtr revIDLastSave="0" documentId="13_ncr:1_{339A84D7-86E3-4EB0-97FD-35E4A212051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2025-1 (02412)" sheetId="19" r:id="rId1"/>
    <sheet name="Parties" sheetId="16" r:id="rId2"/>
    <sheet name="2021-1 Vidéos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9" l="1"/>
  <c r="G55" i="19"/>
  <c r="G53" i="19"/>
  <c r="G52" i="19"/>
  <c r="G44" i="19"/>
  <c r="G45" i="19" s="1"/>
  <c r="G46" i="19" s="1"/>
  <c r="G47" i="19" s="1"/>
  <c r="G48" i="19" s="1"/>
  <c r="G49" i="19" s="1"/>
  <c r="G50" i="19" s="1"/>
  <c r="G43" i="19"/>
  <c r="G42" i="19"/>
  <c r="M41" i="19"/>
  <c r="M53" i="19"/>
  <c r="M55" i="19"/>
  <c r="M54" i="19"/>
  <c r="M52" i="19"/>
  <c r="M51" i="19"/>
  <c r="M50" i="19"/>
  <c r="M49" i="19"/>
  <c r="M48" i="19"/>
  <c r="M47" i="19"/>
  <c r="M46" i="19"/>
  <c r="M45" i="19"/>
  <c r="M44" i="19"/>
  <c r="M43" i="19"/>
  <c r="M42" i="19"/>
  <c r="M40" i="19"/>
  <c r="M39" i="19"/>
  <c r="M38" i="19"/>
  <c r="M37" i="19"/>
  <c r="M36" i="19"/>
  <c r="M35" i="19"/>
  <c r="M34" i="19"/>
  <c r="M33" i="19"/>
  <c r="M32" i="19"/>
  <c r="M31" i="19"/>
  <c r="M30" i="19"/>
  <c r="M29" i="19"/>
  <c r="M28" i="19"/>
  <c r="M27" i="19"/>
  <c r="M26" i="19"/>
  <c r="M25" i="19"/>
  <c r="M24" i="19"/>
  <c r="M23" i="19"/>
  <c r="M22" i="19"/>
  <c r="M21" i="19"/>
  <c r="M20" i="19"/>
  <c r="M19" i="19"/>
  <c r="M18" i="19"/>
  <c r="M17" i="19"/>
  <c r="M16" i="19"/>
  <c r="M15" i="19"/>
  <c r="M14" i="19"/>
  <c r="M13" i="19"/>
  <c r="M12" i="19"/>
  <c r="M11" i="19"/>
  <c r="M10" i="19"/>
  <c r="M9" i="19"/>
  <c r="M8" i="19"/>
  <c r="M7" i="19"/>
  <c r="M6" i="19"/>
  <c r="M5" i="19"/>
  <c r="M4" i="19"/>
  <c r="M3" i="19"/>
  <c r="M2" i="19"/>
  <c r="C5" i="16" l="1"/>
  <c r="F93" i="10" l="1"/>
  <c r="F92" i="10"/>
  <c r="F91" i="10"/>
  <c r="F90" i="10"/>
  <c r="F89" i="10"/>
  <c r="F88" i="10"/>
  <c r="F85" i="10"/>
  <c r="F84" i="10"/>
  <c r="F83" i="10"/>
  <c r="F82" i="10"/>
  <c r="F81" i="10"/>
  <c r="F80" i="10"/>
  <c r="F79" i="10"/>
  <c r="F78" i="10"/>
  <c r="F68" i="10"/>
  <c r="F67" i="10"/>
  <c r="F64" i="10"/>
  <c r="F63" i="10"/>
  <c r="F62" i="10"/>
  <c r="F61" i="10"/>
  <c r="F60" i="10"/>
  <c r="F59" i="10"/>
  <c r="F58" i="10"/>
  <c r="F55" i="10"/>
  <c r="F54" i="10"/>
  <c r="F53" i="10"/>
  <c r="F52" i="10"/>
  <c r="F51" i="10"/>
  <c r="F38" i="10" l="1"/>
  <c r="F42" i="10" l="1"/>
  <c r="F50" i="10"/>
  <c r="F49" i="10"/>
  <c r="F48" i="10"/>
  <c r="F47" i="10"/>
  <c r="F46" i="10"/>
  <c r="F45" i="10"/>
  <c r="F44" i="10"/>
  <c r="F43" i="10"/>
  <c r="F41" i="10"/>
  <c r="F40" i="10"/>
  <c r="F39" i="10"/>
  <c r="F37" i="10"/>
  <c r="F36" i="10"/>
  <c r="F35" i="10"/>
  <c r="F34" i="10"/>
  <c r="F33" i="10"/>
  <c r="F32" i="10"/>
  <c r="F31" i="10"/>
  <c r="F29" i="10" l="1"/>
  <c r="F28" i="10"/>
  <c r="F27" i="10"/>
  <c r="F26" i="10"/>
  <c r="F25" i="10"/>
  <c r="F24" i="10"/>
  <c r="F23" i="10"/>
  <c r="F22" i="10"/>
  <c r="F21" i="10"/>
  <c r="F20" i="10"/>
  <c r="F19" i="10" l="1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</calcChain>
</file>

<file path=xl/sharedStrings.xml><?xml version="1.0" encoding="utf-8"?>
<sst xmlns="http://schemas.openxmlformats.org/spreadsheetml/2006/main" count="708" uniqueCount="274">
  <si>
    <t>Séance</t>
  </si>
  <si>
    <t>Date</t>
  </si>
  <si>
    <t>Heure</t>
  </si>
  <si>
    <t>Local</t>
  </si>
  <si>
    <t>Jour</t>
  </si>
  <si>
    <t>Contenu</t>
  </si>
  <si>
    <t>Évaluation</t>
  </si>
  <si>
    <t>Commentaires</t>
  </si>
  <si>
    <t>Durée</t>
  </si>
  <si>
    <t>Semaine</t>
  </si>
  <si>
    <t>Partie</t>
  </si>
  <si>
    <t>Titre</t>
  </si>
  <si>
    <t>Dérivation implicite</t>
  </si>
  <si>
    <t>Les fonctions</t>
  </si>
  <si>
    <t>Révision</t>
  </si>
  <si>
    <t>Examen 1</t>
  </si>
  <si>
    <t>Examen 2</t>
  </si>
  <si>
    <t>Total</t>
  </si>
  <si>
    <t>https://www.youtube.com/watch?v=o5_jPzFI79o</t>
  </si>
  <si>
    <t>Source</t>
  </si>
  <si>
    <t>Lien</t>
  </si>
  <si>
    <t>Section</t>
  </si>
  <si>
    <t>https://www.youtube.com/watch?v=eEzLOUIxCsM</t>
  </si>
  <si>
    <t>Composition de fonctions</t>
  </si>
  <si>
    <t>A.12 Les fonctions</t>
  </si>
  <si>
    <t>A.13 La composition de fonctions</t>
  </si>
  <si>
    <t>A.14 La fonction linéaire</t>
  </si>
  <si>
    <t>https://www.youtube.com/watch?v=EZI5XtfKj9w</t>
  </si>
  <si>
    <t>Domaine de fonctions</t>
  </si>
  <si>
    <t>A.15 La fonction quadratique</t>
  </si>
  <si>
    <t>A.16 La fonction valeur absolue</t>
  </si>
  <si>
    <t>A.17 La fonction racine carrée</t>
  </si>
  <si>
    <t>A.8 Les opérations sur les polynômes</t>
  </si>
  <si>
    <t>A.9 La factorisation de polynômes</t>
  </si>
  <si>
    <t>A.10 Les fractions algébriques</t>
  </si>
  <si>
    <t>https://www.youtube.com/watch?v=Vzw-KfEY7g0</t>
  </si>
  <si>
    <t>https://www.youtube.com/watch?v=nVXDwwWYpiY</t>
  </si>
  <si>
    <t>Division de polynômes - Division euclidienne</t>
  </si>
  <si>
    <t>Opérations sur les polynômes - Addition, soustraction, produit et division</t>
  </si>
  <si>
    <t>Mise en évidence simple - Technique de factorisation</t>
  </si>
  <si>
    <t>https://www.youtube.com/watch?v=CBjFerRVBW8</t>
  </si>
  <si>
    <t>Mise en évidence double - Technique de factorisation</t>
  </si>
  <si>
    <t>https://www.youtube.com/watch?v=8UmWamkU2Wk</t>
  </si>
  <si>
    <t>Trinôme carré parfait - Technique de factorisation</t>
  </si>
  <si>
    <t>https://www.youtube.com/watch?v=LJY0kySohQ4</t>
  </si>
  <si>
    <t>Trinôme général - Technique de factorisation</t>
  </si>
  <si>
    <t>https://www.youtube.com/watch?v=Nwn2QTQq_OE</t>
  </si>
  <si>
    <t>Différence de deux carrés - Technique de factorisation</t>
  </si>
  <si>
    <t>https://www.youtube.com/watch?v=n3K2eohWb00</t>
  </si>
  <si>
    <t>https://www.youtube.com/watch?v=WQL7zkP983E</t>
  </si>
  <si>
    <t>Complétion du carré - Technique de factorisation</t>
  </si>
  <si>
    <t>https://www.youtube.com/watch?v=qnkTXQtgq3Y</t>
  </si>
  <si>
    <t>Somme et différence de cubes - Technique de factorisation</t>
  </si>
  <si>
    <t>https://www.youtube.com/watch?v=UwLsENG6ALA</t>
  </si>
  <si>
    <t>Simplification de fractions rationnelles</t>
  </si>
  <si>
    <t>Opérations sur les fractions rationnelles</t>
  </si>
  <si>
    <t>https://www.youtube.com/watch?v=6SvDS5QIrQs</t>
  </si>
  <si>
    <t>Simplification de fractions complexes</t>
  </si>
  <si>
    <t>https://www.youtube.com/watch?v=BpwPsBKFos0</t>
  </si>
  <si>
    <t>A.11 La résolution d'équations</t>
  </si>
  <si>
    <t>Résolution d'équations linéaires</t>
  </si>
  <si>
    <t>https://www.youtube.com/watch?v=hdCyarNe9eU</t>
  </si>
  <si>
    <t>Résolution d'équations quadratiques</t>
  </si>
  <si>
    <t>https://www.youtube.com/watch?v=SEl7MBtrAzQ</t>
  </si>
  <si>
    <t>Résolution d'équations contenant des fractions rationnelles</t>
  </si>
  <si>
    <t>https://www.youtube.com/watch?v=KvgpFFEVKwg</t>
  </si>
  <si>
    <t>Résolution d'équations contenant des racines carrées</t>
  </si>
  <si>
    <t>https://www.youtube.com/watch?v=UIjATXfj-DQ</t>
  </si>
  <si>
    <t>Résolution d'équations contenant des valeurs absolues</t>
  </si>
  <si>
    <t>https://www.youtube.com/watch?v=g06z8KM2aMo</t>
  </si>
  <si>
    <t>https://www.youtube.com/watch?v=kpuizMUoRFM</t>
  </si>
  <si>
    <t>Allô prof</t>
  </si>
  <si>
    <t>Équation de la fonction affine</t>
  </si>
  <si>
    <t>https://www.youtube.com/watch?v=RH2sVNiuiQY</t>
  </si>
  <si>
    <t>Graphique de la fonction affine</t>
  </si>
  <si>
    <t>https://www.youtube.com/watch?v=DxTUrLAzMDc&amp;t=345</t>
  </si>
  <si>
    <t>Les zéros de la fonction polynomiale de degré 2 (générale)</t>
  </si>
  <si>
    <t>https://www.youtube.com/watch?v=KdCnAAGYU7Y</t>
  </si>
  <si>
    <t>Graphique de la fonction polynomiale de degré 2</t>
  </si>
  <si>
    <t>Équation de la fonction valeur absolue</t>
  </si>
  <si>
    <t>https://www.youtube.com/watch?v=-ZBG-Cx4MGI</t>
  </si>
  <si>
    <t>Graphique de la fonction valeur absolue</t>
  </si>
  <si>
    <t>https://www.youtube.com/watch?v=5THDSpaMUg4</t>
  </si>
  <si>
    <t>Équation de la fonction racine carrée</t>
  </si>
  <si>
    <t>https://www.youtube.com/watch?v=13qU5N-juFA</t>
  </si>
  <si>
    <t>Mathéma-TIC</t>
  </si>
  <si>
    <t>Graphique de la fonction racine carrée</t>
  </si>
  <si>
    <t>https://www.youtube.com/watch?v=ZudsiaXfRaQ</t>
  </si>
  <si>
    <t>1.1 La limite : une approche intuitive</t>
  </si>
  <si>
    <t>1.3 Évaluation d’une limite</t>
  </si>
  <si>
    <t>1.4 Évaluation d’une limite de la forme C/0</t>
  </si>
  <si>
    <t xml:space="preserve">1.5 Évaluation d’une limite à l’infini </t>
  </si>
  <si>
    <t>1.7.1 et 1.7.2 Continuité : typologies et définition de la continuité en un point</t>
  </si>
  <si>
    <t>2.3 Dérivée en un point et fonction dérivée</t>
  </si>
  <si>
    <t>2.4 Dérivée et continuité</t>
  </si>
  <si>
    <t>2.6 Interprétation géométrique du signe de la dérivée</t>
  </si>
  <si>
    <t>2.7 Dérivée d’ordre supérieur</t>
  </si>
  <si>
    <t>2.8 Dérivation des fonctions composées</t>
  </si>
  <si>
    <t>2.9 Dérivation implicite*</t>
  </si>
  <si>
    <t>A.18 La fonction exponentielle et la fonction logarithmique</t>
  </si>
  <si>
    <t>3.1 Dérivation des fonctions exponentielles et des fonctions logarithmiques</t>
  </si>
  <si>
    <t>A.19 et A.22 Les fonctions trigonométriques</t>
  </si>
  <si>
    <t xml:space="preserve">3.2 Dérivation des fonctions trigonométriques </t>
  </si>
  <si>
    <t xml:space="preserve">5.1 à 5.3 Optimisation </t>
  </si>
  <si>
    <t>6.1 à 6.4 Tracé de courbes</t>
  </si>
  <si>
    <t>3.3 et A.21 Dérivation des fonctions trigonométriques inverses*</t>
  </si>
  <si>
    <t>4.4 Approximation linéaire*</t>
  </si>
  <si>
    <t>https://www.youtube.com/watch?v=U84RHEDiOfE</t>
  </si>
  <si>
    <t>Calcul de limites - Approche graphique</t>
  </si>
  <si>
    <t>https://www.youtube.com/watch?v=Pss9tOCpbbQ</t>
  </si>
  <si>
    <t>La limite à gauche et la limite à droite</t>
  </si>
  <si>
    <t>https://www.youtube.com/watch?v=1O3oMM7ktps</t>
  </si>
  <si>
    <t>Les limites infinies</t>
  </si>
  <si>
    <t>https://www.youtube.com/watch?v=GdMYVzKcy_M</t>
  </si>
  <si>
    <t>Les asymptotes verticales et les limites infinies</t>
  </si>
  <si>
    <t>https://www.youtube.com/watch?v=hSMTD6AH4OE</t>
  </si>
  <si>
    <t>Les limites à l'infini</t>
  </si>
  <si>
    <t>Les asymptotes horizontales et les limites à l’infini</t>
  </si>
  <si>
    <t>https://www.youtube.com/watch?v=ig-NDCYeoOA</t>
  </si>
  <si>
    <t>Samuel Bernard</t>
  </si>
  <si>
    <t>Limite d'une fonction polynomiale</t>
  </si>
  <si>
    <t>https://www.youtube.com/watch?v=98Cq87oFLL8</t>
  </si>
  <si>
    <t>Limite d'une fonction algébrique - Série d'exemples 1</t>
  </si>
  <si>
    <t>https://www.youtube.com/watch?v=ga6crk9CIf8</t>
  </si>
  <si>
    <t>Limite d'une fonction algébrique - Série d'exemples 2</t>
  </si>
  <si>
    <t>https://www.youtube.com/watch?v=WMWPUxKccsA</t>
  </si>
  <si>
    <t>Limite de la forme c/0</t>
  </si>
  <si>
    <t>https://www.youtube.com/watch?v=Q_6djie5Bp8</t>
  </si>
  <si>
    <t>Arithmétique de l'infini</t>
  </si>
  <si>
    <t>https://www.youtube.com/watch?v=O-CvDnUcivA</t>
  </si>
  <si>
    <t>https://www.youtube.com/watch?v=AZbqx1zggbI</t>
  </si>
  <si>
    <t>Propriétés des limites à l’infini</t>
  </si>
  <si>
    <t>Évaluation de la limite d'une forme indéterminée 0/0 - Fonction rationnelle</t>
  </si>
  <si>
    <t>https://www.youtube.com/watch?v=vWmQAq-aKnw</t>
  </si>
  <si>
    <t>Évaluation de la limite d'une forme indéterminée 0/0 - Division euclidienne</t>
  </si>
  <si>
    <t>https://www.youtube.com/watch?v=TOCT107ofRI</t>
  </si>
  <si>
    <t>Évaluation de la limite d'une forme indéterminée 0/0 - Fonction contenant une racine carrée</t>
  </si>
  <si>
    <t>https://www.youtube.com/watch?v=VbGCw7z-0O4</t>
  </si>
  <si>
    <t>Évaluation de la limite d'une forme indéterminée 0/0 - Fraction complexe</t>
  </si>
  <si>
    <t>https://www.youtube.com/watch?v=SHsQ_NM8Fyo</t>
  </si>
  <si>
    <t>Évaluation de la limite d'une forme indéterminée infini/infini - Fonction rationnelle 1</t>
  </si>
  <si>
    <t>https://www.youtube.com/watch?v=D0OIHmmirT8</t>
  </si>
  <si>
    <t>Évaluation de la limite d'une forme indéterminée infini/infini - Fonction rationnelle 2</t>
  </si>
  <si>
    <t>https://www.youtube.com/watch?v=5yFcVnhMK70</t>
  </si>
  <si>
    <t>Évaluation de la limite d'une forme indéterminée infini/infini - Fonction racine carrée</t>
  </si>
  <si>
    <t>https://www.youtube.com/watch?v=e8IYj18iyio</t>
  </si>
  <si>
    <t>La continuité en un point d’une fonction - Définition</t>
  </si>
  <si>
    <t>https://www.youtube.com/watch?v=YtN0UB9B_Q8</t>
  </si>
  <si>
    <t>Calcul de la pente d’une droite sécante et taux de variation moyen</t>
  </si>
  <si>
    <t>https://www.youtube.com/watch?v=WyMMiz1HMVg</t>
  </si>
  <si>
    <t>2.1 Taux de variation moyen</t>
  </si>
  <si>
    <t>2.2 Taux de variation instantané</t>
  </si>
  <si>
    <t>Calcul de la pente d’une droite tangente et taux de variation instantané</t>
  </si>
  <si>
    <t>https://www.youtube.com/watch?v=ZLjVOkQowlo</t>
  </si>
  <si>
    <t>Calcul de la pente d'une droite tangente et du taux de variation instantané - Exemples</t>
  </si>
  <si>
    <t>https://www.youtube.com/watch?v=HmBtiGKq628</t>
  </si>
  <si>
    <t>Calcul d’un taux de variation instantané – À l’aide d’une définition alternative</t>
  </si>
  <si>
    <t>https://www.youtube.com/watch?v=_OdxDabOHds</t>
  </si>
  <si>
    <t>https://www.youtube.com/watch?v=8TuBF8r1EPs</t>
  </si>
  <si>
    <t>Dérivée d'une fonction</t>
  </si>
  <si>
    <t>À faire</t>
  </si>
  <si>
    <t>https://www.youtube.com/watch?v=j8xvwhIMvZ0</t>
  </si>
  <si>
    <t>Dérivée d’une puissance - Preuve</t>
  </si>
  <si>
    <t>Dérivée d'une puissance - Exemples</t>
  </si>
  <si>
    <t>https://www.youtube.com/watch?v=FC6EC_I4vTQ</t>
  </si>
  <si>
    <t>1.2.1 Estimation d’une limite à l’aide d’un graphique ou d’un tableau de valeurs</t>
  </si>
  <si>
    <t>1.2.2 Estimation d’une limite à l’aide d’un graphique ou d’un tableau de valeurs</t>
  </si>
  <si>
    <t>1.2.3 Estimation d’une limite à l’aide d’un graphique ou d’un tableau de valeurs</t>
  </si>
  <si>
    <t>1.2.4 Estimation d’une limite à l’aide d’un graphique ou d’un tableau de valeurs</t>
  </si>
  <si>
    <t>1.2.5 Estimation d’une limite à l’aide d’un graphique ou d’un tableau de valeurs</t>
  </si>
  <si>
    <t>1.2.6 Estimation d’une limite à l’aide d’un graphique ou d’un tableau de valeurs</t>
  </si>
  <si>
    <t xml:space="preserve">1.6.1 Évaluation de la limite d’une forme indéterminée : formes 0/0, ∞/∞ et ∞ – ∞ </t>
  </si>
  <si>
    <t xml:space="preserve">1.6.2 Évaluation de la limite d’une forme indéterminée : formes 0/0, ∞/∞ et ∞ – ∞ </t>
  </si>
  <si>
    <t>2.5.7 Premières formules de dérivation</t>
  </si>
  <si>
    <t>Dérivée d’une fonction constante</t>
  </si>
  <si>
    <t>2.5.1 Premières formules de dérivation</t>
  </si>
  <si>
    <t>Dérivée du produit d’une constante par une fonction</t>
  </si>
  <si>
    <t>Dérivée d’une somme de fonctions</t>
  </si>
  <si>
    <t>Dérivée d’un produit de fonctions</t>
  </si>
  <si>
    <t>Dérivée d’un quotient de fonctions</t>
  </si>
  <si>
    <t>2.5.3 Premières formules de dérivation</t>
  </si>
  <si>
    <t>2.5.4 Premières formules de dérivation</t>
  </si>
  <si>
    <t>2.5.5 Premières formules de dérivation</t>
  </si>
  <si>
    <t>2.5.6 Premières formules de dérivation</t>
  </si>
  <si>
    <t>https://www.youtube.com/watch?v=3IOXDb7XciA</t>
  </si>
  <si>
    <t>https://www.youtube.com/watch?v=HA22BEmCsDA</t>
  </si>
  <si>
    <t>https://www.youtube.com/watch?v=O5CnAwNqpHA</t>
  </si>
  <si>
    <t>https://www.youtube.com/watch?v=_pgZosb8Xg0</t>
  </si>
  <si>
    <t>https://www.youtube.com/watch?v=tNtGjXYbEN8</t>
  </si>
  <si>
    <t>À faire (avec delta x au lieu de h)</t>
  </si>
  <si>
    <t>Dérivée d'une composée de fonctions dérivables – Dérivation en chaîne</t>
  </si>
  <si>
    <t>https://www.youtube.com/watch?v=xZ_cIhDEmzg</t>
  </si>
  <si>
    <t>https://www.youtube.com/watch?v=K_2x60GBgyY</t>
  </si>
  <si>
    <t>À compléter</t>
  </si>
  <si>
    <t>Fonction exponentielle</t>
  </si>
  <si>
    <t>https://www.youtube.com/watch?v=zD6WffCLRJg</t>
  </si>
  <si>
    <t>Fonction logarithmique</t>
  </si>
  <si>
    <t>https://www.youtube.com/watch?v=A6eHl3L1eEw</t>
  </si>
  <si>
    <t>Propriétés des logarithmes - théorie</t>
  </si>
  <si>
    <t>https://www.youtube.com/watch?v=gZRy5qZhsh4</t>
  </si>
  <si>
    <t>Propriétés des logarithmes - application</t>
  </si>
  <si>
    <t>https://www.youtube.com/watch?v=mzLhqp7_I7w</t>
  </si>
  <si>
    <t>Résolution d'équations logarithmiques</t>
  </si>
  <si>
    <t>https://www.youtube.com/watch?v=olZUj4e4HAE</t>
  </si>
  <si>
    <t>Résolution d'équations exponentielles</t>
  </si>
  <si>
    <t>https://www.youtube.com/watch?v=ZnOclhnCvO4</t>
  </si>
  <si>
    <t>La dérivée de la fonction logarithmique</t>
  </si>
  <si>
    <t>https://www.youtube.com/watch?v=y9dsftz-qmc</t>
  </si>
  <si>
    <t>La dérivée de la fonction exponentielle</t>
  </si>
  <si>
    <t>https://www.youtube.com/watch?v=YUEO8Ufn9Hw</t>
  </si>
  <si>
    <t>Le cercle trigonométrique</t>
  </si>
  <si>
    <t>Justine C. Barolet</t>
  </si>
  <si>
    <t>https://www.youtube.com/watch?v=F2H4x9P8Hc0</t>
  </si>
  <si>
    <t>Limite d'une fonction trigonométrique</t>
  </si>
  <si>
    <t>https://www.youtube.com/watch?v=DCpaN5c-DbY</t>
  </si>
  <si>
    <t>Calcul d'une limite particulière</t>
  </si>
  <si>
    <t>https://www.youtube.com/watch?v=7dnoW-mWlAo</t>
  </si>
  <si>
    <t>Dérivée de la fonction sinus</t>
  </si>
  <si>
    <t>https://www.youtube.com/watch?v=rx_ZN99bzFE</t>
  </si>
  <si>
    <t>Dérivée de la fonction cosinus</t>
  </si>
  <si>
    <t>https://youtu.be/5WZ__ZMlPOM</t>
  </si>
  <si>
    <t>Dérivée des autres fonctions trigonométriques</t>
  </si>
  <si>
    <t>https://www.youtube.com/watch?v=2D8U6pfQ0Z8</t>
  </si>
  <si>
    <t>10h30</t>
  </si>
  <si>
    <t>mardi</t>
  </si>
  <si>
    <t>Horaire du lundi</t>
  </si>
  <si>
    <t>Examen 3</t>
  </si>
  <si>
    <t>13h30</t>
  </si>
  <si>
    <t>—</t>
  </si>
  <si>
    <t>A.14 La fonction linéaire
A.15 La fonction quadratique
A.16 La fonction valeur absolue
A.17 La fonction racine carrée</t>
  </si>
  <si>
    <t>1.4 Évaluation d’une limite de la forme C/0
1.5 Évaluation d’une limite à l’infini</t>
  </si>
  <si>
    <t>1.6 Évaluation de la limite d’une forme indéterminée</t>
  </si>
  <si>
    <t>1.7 Continuité</t>
  </si>
  <si>
    <t>2.4 Dérivée et continuité
2.5 Première formules de dérivation</t>
  </si>
  <si>
    <t>2.9 Dérivation implicite</t>
  </si>
  <si>
    <t>3.1 Dérivation des fonctions exponentielles et logarithmiques</t>
  </si>
  <si>
    <t>A.19-A.22 Les fonctions trigonométriques</t>
  </si>
  <si>
    <t>4.1 Taux liés</t>
  </si>
  <si>
    <t>5.1 Croissance, décroissance et extremums relatifs d’une fonction
5.2 Extremums absolus d’une fonction</t>
  </si>
  <si>
    <t>5.3 Problèmes d’optimisation</t>
  </si>
  <si>
    <t>4.1 Taux liés
4.4 Approximation linéaire</t>
  </si>
  <si>
    <t>mercredi</t>
  </si>
  <si>
    <t>2-51-220</t>
  </si>
  <si>
    <t>2-51-224</t>
  </si>
  <si>
    <t>Semaine de relâche</t>
  </si>
  <si>
    <t>Épreuve uniforme de français</t>
  </si>
  <si>
    <t>A.9 La factorisation de polynômes
A.10 Les fractions algébriques
A.11 La résolution d’équations
A.12 Les fonctions</t>
  </si>
  <si>
    <t>3.2 Dérivation des fonctions trigonométriques</t>
  </si>
  <si>
    <t>vendredi</t>
  </si>
  <si>
    <t>8h30</t>
  </si>
  <si>
    <t>2-51-230</t>
  </si>
  <si>
    <t>Congé (vendredi saint)</t>
  </si>
  <si>
    <t>Fonctions</t>
  </si>
  <si>
    <t>Dérivée</t>
  </si>
  <si>
    <t>Applications</t>
  </si>
  <si>
    <t>A.6 Les propriétés des radicaux
A.8 Les opérations sur les polynômes</t>
  </si>
  <si>
    <t>Plan de cours
A.4 Les propriétés des exposants
A.5 La valeur absolue d’un nombre</t>
  </si>
  <si>
    <t>Minitest 1</t>
  </si>
  <si>
    <t>Minitest 2</t>
  </si>
  <si>
    <t>Minitest 3</t>
  </si>
  <si>
    <t>3.3 Dérivation des fonctions trigonométriques inverses</t>
  </si>
  <si>
    <t>3.4 Règle de l'Hospital</t>
  </si>
  <si>
    <t>Minitest 4</t>
  </si>
  <si>
    <t>A.18 Fonctions exponentielles et logarithmiques</t>
  </si>
  <si>
    <t>1.1 La limite : une approche intuitive
1.2 Estimation d’une limite (graphique ou tableau de valeurs)</t>
  </si>
  <si>
    <t>2.8 Dérivation des fonctions composées
2.9 Dérivation implicite</t>
  </si>
  <si>
    <t>Minitest 5</t>
  </si>
  <si>
    <t>2.1 Taux de variation moyen
2.2 Taux de variation instantané</t>
  </si>
  <si>
    <t>Minitest 6</t>
  </si>
  <si>
    <t>Minitest 7</t>
  </si>
  <si>
    <t>Minitest 8</t>
  </si>
  <si>
    <t>6.1 Domaine d’une fonction
6.2 Asymptotes à la courbe décrite par une fonction
6.3 Ordonnée à l'origine et zéros de la fonction</t>
  </si>
  <si>
    <t>6.4 Concavité et points d’inflexion</t>
  </si>
  <si>
    <t>6.5 Esquisse de la courbe décrite par une fonction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</si>
</sst>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d"/>
    <numFmt numFmtId="165" formatCode="dd\ mmmm\ yyyy"/>
    <numFmt numFmtId="166" formatCode="dd\ mmmm"/>
    <numFmt numFmtId="167" formatCode="[$-F800]dddd\,\ mmmm\ dd\,\ yyyy"/>
  </numFmts>
  <fonts count="9" x14ac:knownFonts="1">
    <font>
      <sz val="12"/>
      <color theme="1"/>
      <name val="Cambria"/>
      <family val="2"/>
    </font>
    <font>
      <b/>
      <sz val="12"/>
      <color theme="1"/>
      <name val="Cambria"/>
      <family val="1"/>
    </font>
    <font>
      <u/>
      <sz val="12"/>
      <color theme="10"/>
      <name val="Cambria"/>
      <family val="2"/>
    </font>
    <font>
      <sz val="12"/>
      <color theme="1"/>
      <name val="Cambria"/>
      <family val="1"/>
    </font>
    <font>
      <sz val="12"/>
      <name val="Cambria"/>
      <family val="1"/>
    </font>
    <font>
      <sz val="12"/>
      <color theme="0" tint="-0.499984740745262"/>
      <name val="Cambria"/>
      <family val="1"/>
    </font>
    <font>
      <b/>
      <sz val="12"/>
      <name val="Cambria"/>
      <family val="1"/>
    </font>
    <font>
      <sz val="11"/>
      <color theme="1"/>
      <name val="Cambria"/>
      <family val="1"/>
    </font>
    <font>
      <sz val="11"/>
      <color theme="0" tint="-0.499984740745262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4" borderId="1" xfId="0" applyFont="1" applyFill="1" applyBorder="1"/>
    <xf numFmtId="0" fontId="3" fillId="0" borderId="1" xfId="0" applyFont="1" applyBorder="1"/>
    <xf numFmtId="45" fontId="0" fillId="0" borderId="1" xfId="0" applyNumberFormat="1" applyBorder="1"/>
    <xf numFmtId="0" fontId="0" fillId="0" borderId="1" xfId="0" applyBorder="1"/>
    <xf numFmtId="0" fontId="2" fillId="0" borderId="1" xfId="1" applyBorder="1"/>
    <xf numFmtId="0" fontId="0" fillId="5" borderId="1" xfId="0" applyFill="1" applyBorder="1"/>
    <xf numFmtId="45" fontId="0" fillId="5" borderId="1" xfId="0" applyNumberFormat="1" applyFill="1" applyBorder="1"/>
    <xf numFmtId="0" fontId="0" fillId="6" borderId="1" xfId="0" applyFill="1" applyBorder="1"/>
    <xf numFmtId="45" fontId="0" fillId="6" borderId="1" xfId="0" applyNumberFormat="1" applyFill="1" applyBorder="1"/>
    <xf numFmtId="0" fontId="3" fillId="2" borderId="1" xfId="0" applyFont="1" applyFill="1" applyBorder="1"/>
    <xf numFmtId="0" fontId="0" fillId="2" borderId="1" xfId="0" applyFill="1" applyBorder="1"/>
    <xf numFmtId="45" fontId="0" fillId="0" borderId="0" xfId="0" applyNumberFormat="1"/>
    <xf numFmtId="0" fontId="4" fillId="2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1" fontId="5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1" fontId="4" fillId="0" borderId="1" xfId="0" applyNumberFormat="1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1" fontId="5" fillId="8" borderId="1" xfId="0" applyNumberFormat="1" applyFont="1" applyFill="1" applyBorder="1" applyAlignment="1">
      <alignment horizontal="center" vertical="center"/>
    </xf>
    <xf numFmtId="167" fontId="7" fillId="0" borderId="0" xfId="0" applyNumberFormat="1" applyFont="1" applyAlignment="1">
      <alignment vertical="center"/>
    </xf>
    <xf numFmtId="0" fontId="4" fillId="0" borderId="0" xfId="0" applyFont="1" applyAlignment="1">
      <alignment horizontal="left"/>
    </xf>
    <xf numFmtId="1" fontId="5" fillId="8" borderId="1" xfId="0" applyNumberFormat="1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6" fontId="5" fillId="8" borderId="1" xfId="0" applyNumberFormat="1" applyFont="1" applyFill="1" applyBorder="1" applyAlignment="1">
      <alignment horizontal="left" vertical="center"/>
    </xf>
    <xf numFmtId="167" fontId="8" fillId="0" borderId="0" xfId="0" applyNumberFormat="1" applyFont="1" applyAlignment="1">
      <alignment vertical="center"/>
    </xf>
    <xf numFmtId="0" fontId="5" fillId="0" borderId="0" xfId="0" applyFont="1"/>
    <xf numFmtId="167" fontId="8" fillId="8" borderId="0" xfId="0" applyNumberFormat="1" applyFont="1" applyFill="1" applyAlignment="1">
      <alignment vertical="center"/>
    </xf>
    <xf numFmtId="0" fontId="5" fillId="8" borderId="0" xfId="0" applyFont="1" applyFill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mruColors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UwLsENG6ALA" TargetMode="External"/><Relationship Id="rId18" Type="http://schemas.openxmlformats.org/officeDocument/2006/relationships/hyperlink" Target="https://www.youtube.com/watch?v=KvgpFFEVKwg" TargetMode="External"/><Relationship Id="rId26" Type="http://schemas.openxmlformats.org/officeDocument/2006/relationships/hyperlink" Target="https://www.youtube.com/watch?v=5THDSpaMUg4" TargetMode="External"/><Relationship Id="rId39" Type="http://schemas.openxmlformats.org/officeDocument/2006/relationships/hyperlink" Target="https://www.youtube.com/watch?v=O-CvDnUcivA" TargetMode="External"/><Relationship Id="rId21" Type="http://schemas.openxmlformats.org/officeDocument/2006/relationships/hyperlink" Target="https://www.youtube.com/watch?v=kpuizMUoRFM" TargetMode="External"/><Relationship Id="rId34" Type="http://schemas.openxmlformats.org/officeDocument/2006/relationships/hyperlink" Target="https://www.youtube.com/watch?v=ig-NDCYeoOA" TargetMode="External"/><Relationship Id="rId42" Type="http://schemas.openxmlformats.org/officeDocument/2006/relationships/hyperlink" Target="https://www.youtube.com/watch?v=TOCT107ofRI" TargetMode="External"/><Relationship Id="rId47" Type="http://schemas.openxmlformats.org/officeDocument/2006/relationships/hyperlink" Target="https://www.youtube.com/watch?v=e8IYj18iyio" TargetMode="External"/><Relationship Id="rId50" Type="http://schemas.openxmlformats.org/officeDocument/2006/relationships/hyperlink" Target="https://www.youtube.com/watch?v=ZLjVOkQowlo" TargetMode="External"/><Relationship Id="rId55" Type="http://schemas.openxmlformats.org/officeDocument/2006/relationships/hyperlink" Target="https://www.youtube.com/watch?v=FC6EC_I4vTQ" TargetMode="External"/><Relationship Id="rId63" Type="http://schemas.openxmlformats.org/officeDocument/2006/relationships/printerSettings" Target="../printerSettings/printerSettings3.bin"/><Relationship Id="rId7" Type="http://schemas.openxmlformats.org/officeDocument/2006/relationships/hyperlink" Target="https://www.youtube.com/watch?v=8UmWamkU2Wk" TargetMode="External"/><Relationship Id="rId2" Type="http://schemas.openxmlformats.org/officeDocument/2006/relationships/hyperlink" Target="https://www.youtube.com/watch?v=eEzLOUIxCsM" TargetMode="External"/><Relationship Id="rId16" Type="http://schemas.openxmlformats.org/officeDocument/2006/relationships/hyperlink" Target="https://www.youtube.com/watch?v=hdCyarNe9eU" TargetMode="External"/><Relationship Id="rId29" Type="http://schemas.openxmlformats.org/officeDocument/2006/relationships/hyperlink" Target="https://www.youtube.com/watch?v=U84RHEDiOfE" TargetMode="External"/><Relationship Id="rId11" Type="http://schemas.openxmlformats.org/officeDocument/2006/relationships/hyperlink" Target="https://www.youtube.com/watch?v=WQL7zkP983E" TargetMode="External"/><Relationship Id="rId24" Type="http://schemas.openxmlformats.org/officeDocument/2006/relationships/hyperlink" Target="https://www.youtube.com/watch?v=KdCnAAGYU7Y" TargetMode="External"/><Relationship Id="rId32" Type="http://schemas.openxmlformats.org/officeDocument/2006/relationships/hyperlink" Target="https://www.youtube.com/watch?v=GdMYVzKcy_M" TargetMode="External"/><Relationship Id="rId37" Type="http://schemas.openxmlformats.org/officeDocument/2006/relationships/hyperlink" Target="https://www.youtube.com/watch?v=WMWPUxKccsA" TargetMode="External"/><Relationship Id="rId40" Type="http://schemas.openxmlformats.org/officeDocument/2006/relationships/hyperlink" Target="https://www.youtube.com/watch?v=AZbqx1zggbI" TargetMode="External"/><Relationship Id="rId45" Type="http://schemas.openxmlformats.org/officeDocument/2006/relationships/hyperlink" Target="https://www.youtube.com/watch?v=D0OIHmmirT8" TargetMode="External"/><Relationship Id="rId53" Type="http://schemas.openxmlformats.org/officeDocument/2006/relationships/hyperlink" Target="https://www.youtube.com/watch?v=8TuBF8r1EPs" TargetMode="External"/><Relationship Id="rId58" Type="http://schemas.openxmlformats.org/officeDocument/2006/relationships/hyperlink" Target="https://www.youtube.com/watch?v=O5CnAwNqpHA" TargetMode="External"/><Relationship Id="rId5" Type="http://schemas.openxmlformats.org/officeDocument/2006/relationships/hyperlink" Target="https://www.youtube.com/watch?v=nVXDwwWYpiY" TargetMode="External"/><Relationship Id="rId61" Type="http://schemas.openxmlformats.org/officeDocument/2006/relationships/hyperlink" Target="https://www.youtube.com/watch?v=xZ_cIhDEmzg" TargetMode="External"/><Relationship Id="rId19" Type="http://schemas.openxmlformats.org/officeDocument/2006/relationships/hyperlink" Target="https://www.youtube.com/watch?v=UIjATXfj-DQ" TargetMode="External"/><Relationship Id="rId14" Type="http://schemas.openxmlformats.org/officeDocument/2006/relationships/hyperlink" Target="https://www.youtube.com/watch?v=6SvDS5QIrQs" TargetMode="External"/><Relationship Id="rId22" Type="http://schemas.openxmlformats.org/officeDocument/2006/relationships/hyperlink" Target="https://www.youtube.com/watch?v=RH2sVNiuiQY" TargetMode="External"/><Relationship Id="rId27" Type="http://schemas.openxmlformats.org/officeDocument/2006/relationships/hyperlink" Target="https://www.youtube.com/watch?v=13qU5N-juFA" TargetMode="External"/><Relationship Id="rId30" Type="http://schemas.openxmlformats.org/officeDocument/2006/relationships/hyperlink" Target="https://www.youtube.com/watch?v=Pss9tOCpbbQ" TargetMode="External"/><Relationship Id="rId35" Type="http://schemas.openxmlformats.org/officeDocument/2006/relationships/hyperlink" Target="https://www.youtube.com/watch?v=ga6crk9CIf8" TargetMode="External"/><Relationship Id="rId43" Type="http://schemas.openxmlformats.org/officeDocument/2006/relationships/hyperlink" Target="https://www.youtube.com/watch?v=VbGCw7z-0O4" TargetMode="External"/><Relationship Id="rId48" Type="http://schemas.openxmlformats.org/officeDocument/2006/relationships/hyperlink" Target="https://www.youtube.com/watch?v=YtN0UB9B_Q8" TargetMode="External"/><Relationship Id="rId56" Type="http://schemas.openxmlformats.org/officeDocument/2006/relationships/hyperlink" Target="https://www.youtube.com/watch?v=3IOXDb7XciA" TargetMode="External"/><Relationship Id="rId8" Type="http://schemas.openxmlformats.org/officeDocument/2006/relationships/hyperlink" Target="https://www.youtube.com/watch?v=LJY0kySohQ4" TargetMode="External"/><Relationship Id="rId51" Type="http://schemas.openxmlformats.org/officeDocument/2006/relationships/hyperlink" Target="https://www.youtube.com/watch?v=HmBtiGKq628" TargetMode="External"/><Relationship Id="rId3" Type="http://schemas.openxmlformats.org/officeDocument/2006/relationships/hyperlink" Target="https://www.youtube.com/watch?v=EZI5XtfKj9w" TargetMode="External"/><Relationship Id="rId12" Type="http://schemas.openxmlformats.org/officeDocument/2006/relationships/hyperlink" Target="https://www.youtube.com/watch?v=qnkTXQtgq3Y" TargetMode="External"/><Relationship Id="rId17" Type="http://schemas.openxmlformats.org/officeDocument/2006/relationships/hyperlink" Target="https://www.youtube.com/watch?v=SEl7MBtrAzQ" TargetMode="External"/><Relationship Id="rId25" Type="http://schemas.openxmlformats.org/officeDocument/2006/relationships/hyperlink" Target="https://www.youtube.com/watch?v=-ZBG-Cx4MGI" TargetMode="External"/><Relationship Id="rId33" Type="http://schemas.openxmlformats.org/officeDocument/2006/relationships/hyperlink" Target="https://www.youtube.com/watch?v=hSMTD6AH4OE" TargetMode="External"/><Relationship Id="rId38" Type="http://schemas.openxmlformats.org/officeDocument/2006/relationships/hyperlink" Target="https://www.youtube.com/watch?v=Q_6djie5Bp8" TargetMode="External"/><Relationship Id="rId46" Type="http://schemas.openxmlformats.org/officeDocument/2006/relationships/hyperlink" Target="https://www.youtube.com/watch?v=5yFcVnhMK70" TargetMode="External"/><Relationship Id="rId59" Type="http://schemas.openxmlformats.org/officeDocument/2006/relationships/hyperlink" Target="https://www.youtube.com/watch?v=_pgZosb8Xg0" TargetMode="External"/><Relationship Id="rId20" Type="http://schemas.openxmlformats.org/officeDocument/2006/relationships/hyperlink" Target="https://www.youtube.com/watch?v=g06z8KM2aMo" TargetMode="External"/><Relationship Id="rId41" Type="http://schemas.openxmlformats.org/officeDocument/2006/relationships/hyperlink" Target="https://www.youtube.com/watch?v=vWmQAq-aKnw" TargetMode="External"/><Relationship Id="rId54" Type="http://schemas.openxmlformats.org/officeDocument/2006/relationships/hyperlink" Target="https://www.youtube.com/watch?v=j8xvwhIMvZ0" TargetMode="External"/><Relationship Id="rId62" Type="http://schemas.openxmlformats.org/officeDocument/2006/relationships/hyperlink" Target="https://www.youtube.com/watch?v=K_2x60GBgyY" TargetMode="External"/><Relationship Id="rId1" Type="http://schemas.openxmlformats.org/officeDocument/2006/relationships/hyperlink" Target="https://www.youtube.com/watch?v=o5_jPzFI79o" TargetMode="External"/><Relationship Id="rId6" Type="http://schemas.openxmlformats.org/officeDocument/2006/relationships/hyperlink" Target="https://www.youtube.com/watch?v=CBjFerRVBW8" TargetMode="External"/><Relationship Id="rId15" Type="http://schemas.openxmlformats.org/officeDocument/2006/relationships/hyperlink" Target="https://www.youtube.com/watch?v=BpwPsBKFos0" TargetMode="External"/><Relationship Id="rId23" Type="http://schemas.openxmlformats.org/officeDocument/2006/relationships/hyperlink" Target="https://www.youtube.com/watch?v=DxTUrLAzMDc&amp;t=345" TargetMode="External"/><Relationship Id="rId28" Type="http://schemas.openxmlformats.org/officeDocument/2006/relationships/hyperlink" Target="https://www.youtube.com/watch?v=ZudsiaXfRaQ" TargetMode="External"/><Relationship Id="rId36" Type="http://schemas.openxmlformats.org/officeDocument/2006/relationships/hyperlink" Target="https://www.youtube.com/watch?v=98Cq87oFLL8" TargetMode="External"/><Relationship Id="rId49" Type="http://schemas.openxmlformats.org/officeDocument/2006/relationships/hyperlink" Target="https://www.youtube.com/watch?v=WyMMiz1HMVg" TargetMode="External"/><Relationship Id="rId57" Type="http://schemas.openxmlformats.org/officeDocument/2006/relationships/hyperlink" Target="https://www.youtube.com/watch?v=HA22BEmCsDA" TargetMode="External"/><Relationship Id="rId10" Type="http://schemas.openxmlformats.org/officeDocument/2006/relationships/hyperlink" Target="https://www.youtube.com/watch?v=n3K2eohWb00" TargetMode="External"/><Relationship Id="rId31" Type="http://schemas.openxmlformats.org/officeDocument/2006/relationships/hyperlink" Target="https://www.youtube.com/watch?v=1O3oMM7ktps" TargetMode="External"/><Relationship Id="rId44" Type="http://schemas.openxmlformats.org/officeDocument/2006/relationships/hyperlink" Target="https://www.youtube.com/watch?v=SHsQ_NM8Fyo" TargetMode="External"/><Relationship Id="rId52" Type="http://schemas.openxmlformats.org/officeDocument/2006/relationships/hyperlink" Target="https://www.youtube.com/watch?v=_OdxDabOHds" TargetMode="External"/><Relationship Id="rId60" Type="http://schemas.openxmlformats.org/officeDocument/2006/relationships/hyperlink" Target="https://www.youtube.com/watch?v=tNtGjXYbEN8" TargetMode="External"/><Relationship Id="rId4" Type="http://schemas.openxmlformats.org/officeDocument/2006/relationships/hyperlink" Target="https://www.youtube.com/watch?v=Vzw-KfEY7g0" TargetMode="External"/><Relationship Id="rId9" Type="http://schemas.openxmlformats.org/officeDocument/2006/relationships/hyperlink" Target="https://www.youtube.com/watch?v=Nwn2QTQq_O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60A4B-840E-4EFB-A691-93F8BA910A4A}">
  <dimension ref="A1:M86"/>
  <sheetViews>
    <sheetView tabSelected="1" zoomScale="130" zoomScaleNormal="13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RowHeight="15.75" x14ac:dyDescent="0.25"/>
  <cols>
    <col min="1" max="1" width="7.88671875" bestFit="1" customWidth="1"/>
    <col min="2" max="2" width="6.6640625" bestFit="1" customWidth="1"/>
    <col min="4" max="4" width="8.77734375" bestFit="1" customWidth="1"/>
    <col min="5" max="5" width="6" bestFit="1" customWidth="1"/>
    <col min="6" max="6" width="5.88671875" bestFit="1" customWidth="1"/>
    <col min="7" max="7" width="5.33203125" bestFit="1" customWidth="1"/>
    <col min="8" max="8" width="11.44140625" customWidth="1"/>
    <col min="9" max="9" width="6" bestFit="1" customWidth="1"/>
    <col min="10" max="10" width="52.109375" style="25" bestFit="1" customWidth="1"/>
    <col min="11" max="11" width="14.109375" style="23" customWidth="1"/>
    <col min="12" max="12" width="28.33203125" bestFit="1" customWidth="1"/>
  </cols>
  <sheetData>
    <row r="1" spans="1:13" x14ac:dyDescent="0.25">
      <c r="A1" s="31" t="s">
        <v>9</v>
      </c>
      <c r="B1" s="31" t="s">
        <v>0</v>
      </c>
      <c r="C1" s="32" t="s">
        <v>4</v>
      </c>
      <c r="D1" s="33" t="s">
        <v>1</v>
      </c>
      <c r="E1" s="33" t="s">
        <v>2</v>
      </c>
      <c r="F1" s="31" t="s">
        <v>8</v>
      </c>
      <c r="G1" s="31" t="s">
        <v>17</v>
      </c>
      <c r="H1" s="31" t="s">
        <v>3</v>
      </c>
      <c r="I1" s="31" t="s">
        <v>10</v>
      </c>
      <c r="J1" s="34" t="s">
        <v>5</v>
      </c>
      <c r="K1" s="31" t="s">
        <v>6</v>
      </c>
      <c r="L1" s="31" t="s">
        <v>7</v>
      </c>
    </row>
    <row r="2" spans="1:13" ht="47.25" x14ac:dyDescent="0.25">
      <c r="A2" s="16">
        <v>1</v>
      </c>
      <c r="B2" s="16">
        <v>1</v>
      </c>
      <c r="C2" s="17" t="s">
        <v>224</v>
      </c>
      <c r="D2" s="22">
        <v>45678</v>
      </c>
      <c r="E2" s="18" t="s">
        <v>227</v>
      </c>
      <c r="F2" s="19">
        <v>2</v>
      </c>
      <c r="G2" s="19">
        <v>2</v>
      </c>
      <c r="H2" s="20" t="s">
        <v>250</v>
      </c>
      <c r="I2" s="20">
        <v>1</v>
      </c>
      <c r="J2" s="26" t="s">
        <v>256</v>
      </c>
      <c r="K2" s="30" t="s">
        <v>228</v>
      </c>
      <c r="L2" s="30" t="s">
        <v>228</v>
      </c>
      <c r="M2" s="38" t="str">
        <f t="shared" ref="M2:M55" si="0">"Planifier séance "&amp;B2&amp;" ("&amp;TEXT(D2,"J MMMM AAAA")&amp;")"</f>
        <v>Planifier séance 1 (21 janvier 2025)</v>
      </c>
    </row>
    <row r="3" spans="1:13" ht="31.5" x14ac:dyDescent="0.25">
      <c r="A3" s="16">
        <v>1</v>
      </c>
      <c r="B3" s="16">
        <v>2</v>
      </c>
      <c r="C3" s="17" t="s">
        <v>241</v>
      </c>
      <c r="D3" s="22">
        <v>45679</v>
      </c>
      <c r="E3" s="18" t="s">
        <v>223</v>
      </c>
      <c r="F3" s="19">
        <v>1</v>
      </c>
      <c r="G3" s="19">
        <v>3</v>
      </c>
      <c r="H3" s="20" t="s">
        <v>242</v>
      </c>
      <c r="I3" s="20">
        <v>1</v>
      </c>
      <c r="J3" s="26" t="s">
        <v>255</v>
      </c>
      <c r="K3" s="30" t="s">
        <v>228</v>
      </c>
      <c r="L3" s="30" t="s">
        <v>228</v>
      </c>
      <c r="M3" s="38" t="str">
        <f t="shared" si="0"/>
        <v>Planifier séance 2 (22 janvier 2025)</v>
      </c>
    </row>
    <row r="4" spans="1:13" ht="63" x14ac:dyDescent="0.25">
      <c r="A4" s="16">
        <v>1</v>
      </c>
      <c r="B4" s="16">
        <v>3</v>
      </c>
      <c r="C4" s="17" t="s">
        <v>248</v>
      </c>
      <c r="D4" s="22">
        <v>45681</v>
      </c>
      <c r="E4" s="18" t="s">
        <v>249</v>
      </c>
      <c r="F4" s="19">
        <v>2</v>
      </c>
      <c r="G4" s="19">
        <v>5</v>
      </c>
      <c r="H4" s="20" t="s">
        <v>243</v>
      </c>
      <c r="I4" s="20">
        <v>1</v>
      </c>
      <c r="J4" s="26" t="s">
        <v>246</v>
      </c>
      <c r="K4" s="30" t="s">
        <v>228</v>
      </c>
      <c r="L4" s="30" t="s">
        <v>228</v>
      </c>
      <c r="M4" s="38" t="str">
        <f t="shared" si="0"/>
        <v>Planifier séance 3 (24 janvier 2025)</v>
      </c>
    </row>
    <row r="5" spans="1:13" ht="63" x14ac:dyDescent="0.25">
      <c r="A5" s="16">
        <v>2</v>
      </c>
      <c r="B5" s="16">
        <v>4</v>
      </c>
      <c r="C5" s="17" t="s">
        <v>224</v>
      </c>
      <c r="D5" s="22">
        <v>45685</v>
      </c>
      <c r="E5" s="18" t="s">
        <v>227</v>
      </c>
      <c r="F5" s="19">
        <v>2</v>
      </c>
      <c r="G5" s="19">
        <v>7</v>
      </c>
      <c r="H5" s="20" t="s">
        <v>250</v>
      </c>
      <c r="I5" s="20">
        <v>1</v>
      </c>
      <c r="J5" s="26" t="s">
        <v>229</v>
      </c>
      <c r="K5" s="30" t="s">
        <v>228</v>
      </c>
      <c r="L5" s="30" t="s">
        <v>228</v>
      </c>
      <c r="M5" s="38" t="str">
        <f t="shared" si="0"/>
        <v>Planifier séance 4 (28 janvier 2025)</v>
      </c>
    </row>
    <row r="6" spans="1:13" ht="31.5" x14ac:dyDescent="0.25">
      <c r="A6" s="16">
        <v>2</v>
      </c>
      <c r="B6" s="16">
        <v>5</v>
      </c>
      <c r="C6" s="17" t="s">
        <v>241</v>
      </c>
      <c r="D6" s="22">
        <v>45686</v>
      </c>
      <c r="E6" s="18" t="s">
        <v>223</v>
      </c>
      <c r="F6" s="19">
        <v>1</v>
      </c>
      <c r="G6" s="19">
        <v>8</v>
      </c>
      <c r="H6" s="20" t="s">
        <v>242</v>
      </c>
      <c r="I6" s="20">
        <v>1</v>
      </c>
      <c r="J6" s="35" t="s">
        <v>264</v>
      </c>
      <c r="K6" s="30" t="s">
        <v>228</v>
      </c>
      <c r="L6" s="30" t="s">
        <v>228</v>
      </c>
      <c r="M6" s="38" t="str">
        <f t="shared" si="0"/>
        <v>Planifier séance 5 (29 janvier 2025)</v>
      </c>
    </row>
    <row r="7" spans="1:13" x14ac:dyDescent="0.25">
      <c r="A7" s="16">
        <v>2</v>
      </c>
      <c r="B7" s="16">
        <v>6</v>
      </c>
      <c r="C7" s="17" t="s">
        <v>248</v>
      </c>
      <c r="D7" s="22">
        <v>45688</v>
      </c>
      <c r="E7" s="18" t="s">
        <v>249</v>
      </c>
      <c r="F7" s="19">
        <v>2</v>
      </c>
      <c r="G7" s="19">
        <v>10</v>
      </c>
      <c r="H7" s="20" t="s">
        <v>243</v>
      </c>
      <c r="I7" s="20">
        <v>1</v>
      </c>
      <c r="J7" s="26" t="s">
        <v>89</v>
      </c>
      <c r="K7" s="26" t="s">
        <v>257</v>
      </c>
      <c r="L7" s="30" t="s">
        <v>228</v>
      </c>
      <c r="M7" s="38" t="str">
        <f t="shared" si="0"/>
        <v>Planifier séance 6 (31 janvier 2025)</v>
      </c>
    </row>
    <row r="8" spans="1:13" ht="31.5" x14ac:dyDescent="0.25">
      <c r="A8" s="16">
        <v>3</v>
      </c>
      <c r="B8" s="16">
        <v>7</v>
      </c>
      <c r="C8" s="17" t="s">
        <v>224</v>
      </c>
      <c r="D8" s="22">
        <v>45692</v>
      </c>
      <c r="E8" s="18" t="s">
        <v>227</v>
      </c>
      <c r="F8" s="19">
        <v>2</v>
      </c>
      <c r="G8" s="19">
        <v>12</v>
      </c>
      <c r="H8" s="20" t="s">
        <v>250</v>
      </c>
      <c r="I8" s="20">
        <v>1</v>
      </c>
      <c r="J8" s="26" t="s">
        <v>230</v>
      </c>
      <c r="K8" s="30" t="s">
        <v>228</v>
      </c>
      <c r="L8" s="30" t="s">
        <v>228</v>
      </c>
      <c r="M8" s="38" t="str">
        <f t="shared" si="0"/>
        <v>Planifier séance 7 (4 février 2025)</v>
      </c>
    </row>
    <row r="9" spans="1:13" x14ac:dyDescent="0.25">
      <c r="A9" s="16">
        <v>3</v>
      </c>
      <c r="B9" s="16">
        <v>8</v>
      </c>
      <c r="C9" s="17" t="s">
        <v>241</v>
      </c>
      <c r="D9" s="22">
        <v>45693</v>
      </c>
      <c r="E9" s="18" t="s">
        <v>223</v>
      </c>
      <c r="F9" s="19">
        <v>1</v>
      </c>
      <c r="G9" s="19">
        <v>13</v>
      </c>
      <c r="H9" s="20" t="s">
        <v>242</v>
      </c>
      <c r="I9" s="20">
        <v>1</v>
      </c>
      <c r="J9" s="26" t="s">
        <v>231</v>
      </c>
      <c r="K9" s="30" t="s">
        <v>228</v>
      </c>
      <c r="L9" s="30" t="s">
        <v>228</v>
      </c>
      <c r="M9" s="38" t="str">
        <f t="shared" si="0"/>
        <v>Planifier séance 8 (5 février 2025)</v>
      </c>
    </row>
    <row r="10" spans="1:13" x14ac:dyDescent="0.25">
      <c r="A10" s="16">
        <v>3</v>
      </c>
      <c r="B10" s="16">
        <v>9</v>
      </c>
      <c r="C10" s="17" t="s">
        <v>248</v>
      </c>
      <c r="D10" s="22">
        <v>45695</v>
      </c>
      <c r="E10" s="18" t="s">
        <v>249</v>
      </c>
      <c r="F10" s="19">
        <v>2</v>
      </c>
      <c r="G10" s="19">
        <v>15</v>
      </c>
      <c r="H10" s="20" t="s">
        <v>243</v>
      </c>
      <c r="I10" s="20">
        <v>1</v>
      </c>
      <c r="J10" s="26" t="s">
        <v>231</v>
      </c>
      <c r="K10" s="30" t="s">
        <v>258</v>
      </c>
      <c r="L10" s="30" t="s">
        <v>228</v>
      </c>
      <c r="M10" s="38" t="str">
        <f t="shared" si="0"/>
        <v>Planifier séance 9 (7 février 2025)</v>
      </c>
    </row>
    <row r="11" spans="1:13" x14ac:dyDescent="0.25">
      <c r="A11" s="16">
        <v>4</v>
      </c>
      <c r="B11" s="16">
        <v>10</v>
      </c>
      <c r="C11" s="17" t="s">
        <v>224</v>
      </c>
      <c r="D11" s="22">
        <v>45699</v>
      </c>
      <c r="E11" s="18" t="s">
        <v>227</v>
      </c>
      <c r="F11" s="19">
        <v>2</v>
      </c>
      <c r="G11" s="19">
        <v>17</v>
      </c>
      <c r="H11" s="20" t="s">
        <v>250</v>
      </c>
      <c r="I11" s="20">
        <v>1</v>
      </c>
      <c r="J11" s="26" t="s">
        <v>232</v>
      </c>
      <c r="K11" s="30" t="s">
        <v>228</v>
      </c>
      <c r="L11" s="30" t="s">
        <v>228</v>
      </c>
      <c r="M11" s="38" t="str">
        <f t="shared" si="0"/>
        <v>Planifier séance 10 (11 février 2025)</v>
      </c>
    </row>
    <row r="12" spans="1:13" x14ac:dyDescent="0.25">
      <c r="A12" s="16">
        <v>4</v>
      </c>
      <c r="B12" s="16">
        <v>11</v>
      </c>
      <c r="C12" s="17" t="s">
        <v>241</v>
      </c>
      <c r="D12" s="22">
        <v>45700</v>
      </c>
      <c r="E12" s="18" t="s">
        <v>223</v>
      </c>
      <c r="F12" s="19">
        <v>1</v>
      </c>
      <c r="G12" s="19">
        <v>18</v>
      </c>
      <c r="H12" s="20" t="s">
        <v>242</v>
      </c>
      <c r="I12" s="20">
        <v>1</v>
      </c>
      <c r="J12" s="26" t="s">
        <v>14</v>
      </c>
      <c r="K12" s="30" t="s">
        <v>228</v>
      </c>
      <c r="L12" s="30" t="s">
        <v>228</v>
      </c>
      <c r="M12" s="38" t="str">
        <f t="shared" si="0"/>
        <v>Planifier séance 11 (12 février 2025)</v>
      </c>
    </row>
    <row r="13" spans="1:13" x14ac:dyDescent="0.25">
      <c r="A13" s="16">
        <v>4</v>
      </c>
      <c r="B13" s="16">
        <v>12</v>
      </c>
      <c r="C13" s="17" t="s">
        <v>248</v>
      </c>
      <c r="D13" s="22">
        <v>45702</v>
      </c>
      <c r="E13" s="18" t="s">
        <v>249</v>
      </c>
      <c r="F13" s="19">
        <v>2</v>
      </c>
      <c r="G13" s="19">
        <v>20</v>
      </c>
      <c r="H13" s="20" t="s">
        <v>243</v>
      </c>
      <c r="I13" s="20">
        <v>1</v>
      </c>
      <c r="J13" s="26" t="s">
        <v>15</v>
      </c>
      <c r="K13" s="35" t="s">
        <v>15</v>
      </c>
      <c r="L13" s="30" t="s">
        <v>228</v>
      </c>
      <c r="M13" s="38" t="str">
        <f t="shared" si="0"/>
        <v>Planifier séance 12 (14 février 2025)</v>
      </c>
    </row>
    <row r="14" spans="1:13" ht="31.5" x14ac:dyDescent="0.25">
      <c r="A14" s="16">
        <v>5</v>
      </c>
      <c r="B14" s="16">
        <v>13</v>
      </c>
      <c r="C14" s="17" t="s">
        <v>224</v>
      </c>
      <c r="D14" s="22">
        <v>45706</v>
      </c>
      <c r="E14" s="18" t="s">
        <v>227</v>
      </c>
      <c r="F14" s="19">
        <v>2</v>
      </c>
      <c r="G14" s="19">
        <v>22</v>
      </c>
      <c r="H14" s="20" t="s">
        <v>250</v>
      </c>
      <c r="I14" s="20">
        <v>2</v>
      </c>
      <c r="J14" s="26" t="s">
        <v>267</v>
      </c>
      <c r="K14" s="30" t="s">
        <v>228</v>
      </c>
      <c r="L14" s="30" t="s">
        <v>228</v>
      </c>
      <c r="M14" s="38" t="str">
        <f t="shared" si="0"/>
        <v>Planifier séance 13 (18 février 2025)</v>
      </c>
    </row>
    <row r="15" spans="1:13" x14ac:dyDescent="0.25">
      <c r="A15" s="16">
        <v>5</v>
      </c>
      <c r="B15" s="16">
        <v>14</v>
      </c>
      <c r="C15" s="17" t="s">
        <v>241</v>
      </c>
      <c r="D15" s="22">
        <v>45707</v>
      </c>
      <c r="E15" s="18" t="s">
        <v>223</v>
      </c>
      <c r="F15" s="19">
        <v>1</v>
      </c>
      <c r="G15" s="19">
        <v>23</v>
      </c>
      <c r="H15" s="20" t="s">
        <v>242</v>
      </c>
      <c r="I15" s="20">
        <v>2</v>
      </c>
      <c r="J15" s="26" t="s">
        <v>93</v>
      </c>
      <c r="K15" s="30" t="s">
        <v>228</v>
      </c>
      <c r="L15" s="30" t="s">
        <v>228</v>
      </c>
      <c r="M15" s="38" t="str">
        <f t="shared" si="0"/>
        <v>Planifier séance 14 (19 février 2025)</v>
      </c>
    </row>
    <row r="16" spans="1:13" ht="31.5" x14ac:dyDescent="0.25">
      <c r="A16" s="16">
        <v>5</v>
      </c>
      <c r="B16" s="16">
        <v>15</v>
      </c>
      <c r="C16" s="17" t="s">
        <v>248</v>
      </c>
      <c r="D16" s="22">
        <v>45709</v>
      </c>
      <c r="E16" s="18" t="s">
        <v>249</v>
      </c>
      <c r="F16" s="19">
        <v>2</v>
      </c>
      <c r="G16" s="19">
        <v>25</v>
      </c>
      <c r="H16" s="20" t="s">
        <v>243</v>
      </c>
      <c r="I16" s="20">
        <v>2</v>
      </c>
      <c r="J16" s="26" t="s">
        <v>233</v>
      </c>
      <c r="K16" s="30" t="s">
        <v>228</v>
      </c>
      <c r="L16" s="30" t="s">
        <v>228</v>
      </c>
      <c r="M16" s="38" t="str">
        <f t="shared" si="0"/>
        <v>Planifier séance 15 (21 février 2025)</v>
      </c>
    </row>
    <row r="17" spans="1:13" x14ac:dyDescent="0.25">
      <c r="A17" s="16">
        <v>6</v>
      </c>
      <c r="B17" s="16">
        <v>16</v>
      </c>
      <c r="C17" s="17" t="s">
        <v>224</v>
      </c>
      <c r="D17" s="22">
        <v>45713</v>
      </c>
      <c r="E17" s="18" t="s">
        <v>227</v>
      </c>
      <c r="F17" s="19">
        <v>2</v>
      </c>
      <c r="G17" s="19">
        <v>27</v>
      </c>
      <c r="H17" s="20" t="s">
        <v>250</v>
      </c>
      <c r="I17" s="20">
        <v>2</v>
      </c>
      <c r="J17" s="21" t="s">
        <v>95</v>
      </c>
      <c r="K17" s="30" t="s">
        <v>228</v>
      </c>
      <c r="L17" s="30" t="s">
        <v>228</v>
      </c>
      <c r="M17" s="38" t="str">
        <f t="shared" si="0"/>
        <v>Planifier séance 16 (25 février 2025)</v>
      </c>
    </row>
    <row r="18" spans="1:13" x14ac:dyDescent="0.25">
      <c r="A18" s="16">
        <v>6</v>
      </c>
      <c r="B18" s="16">
        <v>17</v>
      </c>
      <c r="C18" s="17" t="s">
        <v>241</v>
      </c>
      <c r="D18" s="22">
        <v>45714</v>
      </c>
      <c r="E18" s="18" t="s">
        <v>223</v>
      </c>
      <c r="F18" s="19">
        <v>1</v>
      </c>
      <c r="G18" s="19">
        <v>28</v>
      </c>
      <c r="H18" s="20" t="s">
        <v>242</v>
      </c>
      <c r="I18" s="20">
        <v>2</v>
      </c>
      <c r="J18" s="26" t="s">
        <v>96</v>
      </c>
      <c r="K18" s="30" t="s">
        <v>228</v>
      </c>
      <c r="L18" s="30" t="s">
        <v>228</v>
      </c>
      <c r="M18" s="38" t="str">
        <f t="shared" si="0"/>
        <v>Planifier séance 17 (26 février 2025)</v>
      </c>
    </row>
    <row r="19" spans="1:13" x14ac:dyDescent="0.25">
      <c r="A19" s="16">
        <v>6</v>
      </c>
      <c r="B19" s="16">
        <v>18</v>
      </c>
      <c r="C19" s="17" t="s">
        <v>248</v>
      </c>
      <c r="D19" s="22">
        <v>45716</v>
      </c>
      <c r="E19" s="18" t="s">
        <v>249</v>
      </c>
      <c r="F19" s="19">
        <v>2</v>
      </c>
      <c r="G19" s="19">
        <v>30</v>
      </c>
      <c r="H19" s="20" t="s">
        <v>243</v>
      </c>
      <c r="I19" s="20">
        <v>2</v>
      </c>
      <c r="J19" s="39" t="s">
        <v>97</v>
      </c>
      <c r="K19" s="30" t="s">
        <v>259</v>
      </c>
      <c r="L19" s="30" t="s">
        <v>228</v>
      </c>
      <c r="M19" s="38" t="str">
        <f t="shared" si="0"/>
        <v>Planifier séance 18 (28 février 2025)</v>
      </c>
    </row>
    <row r="20" spans="1:13" s="44" customFormat="1" x14ac:dyDescent="0.25">
      <c r="A20" s="36" t="s">
        <v>228</v>
      </c>
      <c r="B20" s="36" t="s">
        <v>228</v>
      </c>
      <c r="C20" s="41" t="s">
        <v>224</v>
      </c>
      <c r="D20" s="42">
        <v>45720</v>
      </c>
      <c r="E20" s="37" t="s">
        <v>228</v>
      </c>
      <c r="F20" s="37" t="s">
        <v>228</v>
      </c>
      <c r="G20" s="37" t="s">
        <v>228</v>
      </c>
      <c r="H20" s="37" t="s">
        <v>228</v>
      </c>
      <c r="I20" s="37" t="s">
        <v>228</v>
      </c>
      <c r="J20" s="40" t="s">
        <v>228</v>
      </c>
      <c r="K20" s="40" t="s">
        <v>228</v>
      </c>
      <c r="L20" s="40" t="s">
        <v>244</v>
      </c>
      <c r="M20" s="43" t="str">
        <f t="shared" si="0"/>
        <v>Planifier séance — (4 mars 2025)</v>
      </c>
    </row>
    <row r="21" spans="1:13" s="44" customFormat="1" x14ac:dyDescent="0.25">
      <c r="A21" s="36" t="s">
        <v>228</v>
      </c>
      <c r="B21" s="36" t="s">
        <v>228</v>
      </c>
      <c r="C21" s="41" t="s">
        <v>241</v>
      </c>
      <c r="D21" s="42">
        <v>45721</v>
      </c>
      <c r="E21" s="37" t="s">
        <v>228</v>
      </c>
      <c r="F21" s="37" t="s">
        <v>228</v>
      </c>
      <c r="G21" s="37" t="s">
        <v>228</v>
      </c>
      <c r="H21" s="37" t="s">
        <v>228</v>
      </c>
      <c r="I21" s="37" t="s">
        <v>228</v>
      </c>
      <c r="J21" s="40" t="s">
        <v>228</v>
      </c>
      <c r="K21" s="40" t="s">
        <v>228</v>
      </c>
      <c r="L21" s="40" t="s">
        <v>244</v>
      </c>
      <c r="M21" s="43" t="str">
        <f t="shared" si="0"/>
        <v>Planifier séance — (5 mars 2025)</v>
      </c>
    </row>
    <row r="22" spans="1:13" s="44" customFormat="1" x14ac:dyDescent="0.25">
      <c r="A22" s="36" t="s">
        <v>228</v>
      </c>
      <c r="B22" s="36" t="s">
        <v>228</v>
      </c>
      <c r="C22" s="41" t="s">
        <v>248</v>
      </c>
      <c r="D22" s="42">
        <v>45723</v>
      </c>
      <c r="E22" s="37" t="s">
        <v>228</v>
      </c>
      <c r="F22" s="37" t="s">
        <v>228</v>
      </c>
      <c r="G22" s="37" t="s">
        <v>228</v>
      </c>
      <c r="H22" s="37" t="s">
        <v>228</v>
      </c>
      <c r="I22" s="37" t="s">
        <v>228</v>
      </c>
      <c r="J22" s="40" t="s">
        <v>228</v>
      </c>
      <c r="K22" s="40" t="s">
        <v>228</v>
      </c>
      <c r="L22" s="40" t="s">
        <v>244</v>
      </c>
      <c r="M22" s="43" t="str">
        <f t="shared" si="0"/>
        <v>Planifier séance — (7 mars 2025)</v>
      </c>
    </row>
    <row r="23" spans="1:13" ht="31.5" x14ac:dyDescent="0.25">
      <c r="A23" s="16">
        <v>7</v>
      </c>
      <c r="B23" s="16">
        <v>19</v>
      </c>
      <c r="C23" s="17" t="s">
        <v>224</v>
      </c>
      <c r="D23" s="22">
        <v>45727</v>
      </c>
      <c r="E23" s="18" t="s">
        <v>227</v>
      </c>
      <c r="F23" s="19">
        <v>2</v>
      </c>
      <c r="G23" s="19">
        <v>32</v>
      </c>
      <c r="H23" s="20" t="s">
        <v>250</v>
      </c>
      <c r="I23" s="20">
        <v>2</v>
      </c>
      <c r="J23" s="26" t="s">
        <v>265</v>
      </c>
      <c r="K23" s="30" t="s">
        <v>228</v>
      </c>
      <c r="L23" s="30" t="s">
        <v>228</v>
      </c>
      <c r="M23" s="38" t="str">
        <f t="shared" si="0"/>
        <v>Planifier séance 19 (11 mars 2025)</v>
      </c>
    </row>
    <row r="24" spans="1:13" x14ac:dyDescent="0.25">
      <c r="A24" s="16">
        <v>7</v>
      </c>
      <c r="B24" s="16">
        <v>20</v>
      </c>
      <c r="C24" s="17" t="s">
        <v>241</v>
      </c>
      <c r="D24" s="22">
        <v>45728</v>
      </c>
      <c r="E24" s="18" t="s">
        <v>223</v>
      </c>
      <c r="F24" s="19">
        <v>1</v>
      </c>
      <c r="G24" s="19">
        <v>33</v>
      </c>
      <c r="H24" s="20" t="s">
        <v>242</v>
      </c>
      <c r="I24" s="20">
        <v>2</v>
      </c>
      <c r="J24" s="26" t="s">
        <v>234</v>
      </c>
      <c r="K24" s="30" t="s">
        <v>228</v>
      </c>
      <c r="L24" s="30" t="s">
        <v>228</v>
      </c>
      <c r="M24" s="38" t="str">
        <f t="shared" si="0"/>
        <v>Planifier séance 20 (12 mars 2025)</v>
      </c>
    </row>
    <row r="25" spans="1:13" x14ac:dyDescent="0.25">
      <c r="A25" s="16">
        <v>7</v>
      </c>
      <c r="B25" s="16">
        <v>21</v>
      </c>
      <c r="C25" s="17" t="s">
        <v>248</v>
      </c>
      <c r="D25" s="22">
        <v>45730</v>
      </c>
      <c r="E25" s="18" t="s">
        <v>249</v>
      </c>
      <c r="F25" s="19">
        <v>2</v>
      </c>
      <c r="G25" s="19">
        <v>35</v>
      </c>
      <c r="H25" s="20" t="s">
        <v>243</v>
      </c>
      <c r="I25" s="20">
        <v>2</v>
      </c>
      <c r="J25" s="26" t="s">
        <v>263</v>
      </c>
      <c r="K25" s="30" t="s">
        <v>228</v>
      </c>
      <c r="L25" s="30" t="s">
        <v>228</v>
      </c>
      <c r="M25" s="38" t="str">
        <f t="shared" si="0"/>
        <v>Planifier séance 21 (14 mars 2025)</v>
      </c>
    </row>
    <row r="26" spans="1:13" x14ac:dyDescent="0.25">
      <c r="A26" s="16">
        <v>8</v>
      </c>
      <c r="B26" s="16">
        <v>22</v>
      </c>
      <c r="C26" s="17" t="s">
        <v>224</v>
      </c>
      <c r="D26" s="22">
        <v>45734</v>
      </c>
      <c r="E26" s="18" t="s">
        <v>227</v>
      </c>
      <c r="F26" s="19">
        <v>2</v>
      </c>
      <c r="G26" s="19">
        <v>37</v>
      </c>
      <c r="H26" s="20" t="s">
        <v>250</v>
      </c>
      <c r="I26" s="20">
        <v>2</v>
      </c>
      <c r="J26" s="26" t="s">
        <v>235</v>
      </c>
      <c r="K26" s="30" t="s">
        <v>228</v>
      </c>
      <c r="L26" s="30" t="s">
        <v>228</v>
      </c>
      <c r="M26" s="38" t="str">
        <f t="shared" si="0"/>
        <v>Planifier séance 22 (18 mars 2025)</v>
      </c>
    </row>
    <row r="27" spans="1:13" x14ac:dyDescent="0.25">
      <c r="A27" s="16">
        <v>8</v>
      </c>
      <c r="B27" s="16">
        <v>23</v>
      </c>
      <c r="C27" s="17" t="s">
        <v>241</v>
      </c>
      <c r="D27" s="22">
        <v>45735</v>
      </c>
      <c r="E27" s="18" t="s">
        <v>223</v>
      </c>
      <c r="F27" s="19">
        <v>1</v>
      </c>
      <c r="G27" s="19">
        <v>38</v>
      </c>
      <c r="H27" s="20" t="s">
        <v>242</v>
      </c>
      <c r="I27" s="20">
        <v>2</v>
      </c>
      <c r="J27" s="30" t="s">
        <v>262</v>
      </c>
      <c r="K27" s="30" t="s">
        <v>262</v>
      </c>
      <c r="L27" s="30" t="s">
        <v>228</v>
      </c>
      <c r="M27" s="38" t="str">
        <f t="shared" si="0"/>
        <v>Planifier séance 23 (19 mars 2025)</v>
      </c>
    </row>
    <row r="28" spans="1:13" x14ac:dyDescent="0.25">
      <c r="A28" s="16">
        <v>8</v>
      </c>
      <c r="B28" s="16">
        <v>24</v>
      </c>
      <c r="C28" s="17" t="s">
        <v>248</v>
      </c>
      <c r="D28" s="22">
        <v>45737</v>
      </c>
      <c r="E28" s="18" t="s">
        <v>249</v>
      </c>
      <c r="F28" s="19">
        <v>2</v>
      </c>
      <c r="G28" s="19">
        <v>40</v>
      </c>
      <c r="H28" s="20" t="s">
        <v>243</v>
      </c>
      <c r="I28" s="20">
        <v>2</v>
      </c>
      <c r="J28" s="26" t="s">
        <v>236</v>
      </c>
      <c r="K28" s="30" t="s">
        <v>228</v>
      </c>
      <c r="L28" s="30" t="s">
        <v>228</v>
      </c>
      <c r="M28" s="38" t="str">
        <f t="shared" si="0"/>
        <v>Planifier séance 24 (21 mars 2025)</v>
      </c>
    </row>
    <row r="29" spans="1:13" x14ac:dyDescent="0.25">
      <c r="A29" s="16">
        <v>9</v>
      </c>
      <c r="B29" s="16">
        <v>25</v>
      </c>
      <c r="C29" s="17" t="s">
        <v>224</v>
      </c>
      <c r="D29" s="22">
        <v>45741</v>
      </c>
      <c r="E29" s="18" t="s">
        <v>227</v>
      </c>
      <c r="F29" s="19">
        <v>2</v>
      </c>
      <c r="G29" s="19">
        <v>42</v>
      </c>
      <c r="H29" s="20" t="s">
        <v>250</v>
      </c>
      <c r="I29" s="20">
        <v>2</v>
      </c>
      <c r="J29" s="26" t="s">
        <v>247</v>
      </c>
      <c r="K29" s="30" t="s">
        <v>228</v>
      </c>
      <c r="L29" s="30" t="s">
        <v>228</v>
      </c>
      <c r="M29" s="38" t="str">
        <f t="shared" si="0"/>
        <v>Planifier séance 25 (25 mars 2025)</v>
      </c>
    </row>
    <row r="30" spans="1:13" x14ac:dyDescent="0.25">
      <c r="A30" s="16">
        <v>9</v>
      </c>
      <c r="B30" s="16">
        <v>26</v>
      </c>
      <c r="C30" s="17" t="s">
        <v>241</v>
      </c>
      <c r="D30" s="22">
        <v>45742</v>
      </c>
      <c r="E30" s="18" t="s">
        <v>223</v>
      </c>
      <c r="F30" s="19">
        <v>1</v>
      </c>
      <c r="G30" s="19">
        <v>43</v>
      </c>
      <c r="H30" s="20" t="s">
        <v>242</v>
      </c>
      <c r="I30" s="20">
        <v>2</v>
      </c>
      <c r="J30" s="21" t="s">
        <v>260</v>
      </c>
      <c r="K30" s="30" t="s">
        <v>228</v>
      </c>
      <c r="L30" s="30" t="s">
        <v>228</v>
      </c>
      <c r="M30" s="38" t="str">
        <f t="shared" si="0"/>
        <v>Planifier séance 26 (26 mars 2025)</v>
      </c>
    </row>
    <row r="31" spans="1:13" x14ac:dyDescent="0.25">
      <c r="A31" s="16">
        <v>9</v>
      </c>
      <c r="B31" s="16">
        <v>27</v>
      </c>
      <c r="C31" s="17" t="s">
        <v>248</v>
      </c>
      <c r="D31" s="22">
        <v>45744</v>
      </c>
      <c r="E31" s="18" t="s">
        <v>249</v>
      </c>
      <c r="F31" s="19">
        <v>2</v>
      </c>
      <c r="G31" s="19">
        <v>45</v>
      </c>
      <c r="H31" s="20" t="s">
        <v>243</v>
      </c>
      <c r="I31" s="20">
        <v>2</v>
      </c>
      <c r="J31" s="26" t="s">
        <v>261</v>
      </c>
      <c r="K31" s="30" t="s">
        <v>266</v>
      </c>
      <c r="L31" s="30" t="s">
        <v>228</v>
      </c>
      <c r="M31" s="38" t="str">
        <f t="shared" si="0"/>
        <v>Planifier séance 27 (28 mars 2025)</v>
      </c>
    </row>
    <row r="32" spans="1:13" x14ac:dyDescent="0.25">
      <c r="A32" s="16">
        <v>10</v>
      </c>
      <c r="B32" s="16">
        <v>28</v>
      </c>
      <c r="C32" s="17" t="s">
        <v>224</v>
      </c>
      <c r="D32" s="22">
        <v>45748</v>
      </c>
      <c r="E32" s="18" t="s">
        <v>227</v>
      </c>
      <c r="F32" s="19">
        <v>2</v>
      </c>
      <c r="G32" s="19">
        <v>47</v>
      </c>
      <c r="H32" s="20" t="s">
        <v>250</v>
      </c>
      <c r="I32" s="20">
        <v>2</v>
      </c>
      <c r="J32" s="26" t="s">
        <v>261</v>
      </c>
      <c r="K32" s="30" t="s">
        <v>228</v>
      </c>
      <c r="L32" s="30" t="s">
        <v>228</v>
      </c>
      <c r="M32" s="38" t="str">
        <f t="shared" si="0"/>
        <v>Planifier séance 28 (1 avril 2025)</v>
      </c>
    </row>
    <row r="33" spans="1:13" x14ac:dyDescent="0.25">
      <c r="A33" s="16">
        <v>10</v>
      </c>
      <c r="B33" s="16">
        <v>29</v>
      </c>
      <c r="C33" s="17" t="s">
        <v>241</v>
      </c>
      <c r="D33" s="22">
        <v>45749</v>
      </c>
      <c r="E33" s="18" t="s">
        <v>223</v>
      </c>
      <c r="F33" s="19">
        <v>1</v>
      </c>
      <c r="G33" s="19">
        <v>48</v>
      </c>
      <c r="H33" s="20" t="s">
        <v>242</v>
      </c>
      <c r="I33" s="20">
        <v>2</v>
      </c>
      <c r="J33" s="26" t="s">
        <v>14</v>
      </c>
      <c r="K33" s="30" t="s">
        <v>228</v>
      </c>
      <c r="L33" s="30" t="s">
        <v>228</v>
      </c>
      <c r="M33" s="38" t="str">
        <f t="shared" si="0"/>
        <v>Planifier séance 29 (2 avril 2025)</v>
      </c>
    </row>
    <row r="34" spans="1:13" x14ac:dyDescent="0.25">
      <c r="A34" s="16">
        <v>10</v>
      </c>
      <c r="B34" s="16">
        <v>30</v>
      </c>
      <c r="C34" s="17" t="s">
        <v>248</v>
      </c>
      <c r="D34" s="22">
        <v>45751</v>
      </c>
      <c r="E34" s="18" t="s">
        <v>249</v>
      </c>
      <c r="F34" s="19">
        <v>2</v>
      </c>
      <c r="G34" s="19">
        <v>50</v>
      </c>
      <c r="H34" s="20" t="s">
        <v>243</v>
      </c>
      <c r="I34" s="20">
        <v>2</v>
      </c>
      <c r="J34" s="26" t="s">
        <v>16</v>
      </c>
      <c r="K34" s="26" t="s">
        <v>16</v>
      </c>
      <c r="L34" s="30" t="s">
        <v>228</v>
      </c>
      <c r="M34" s="38" t="str">
        <f t="shared" si="0"/>
        <v>Planifier séance 30 (4 avril 2025)</v>
      </c>
    </row>
    <row r="35" spans="1:13" x14ac:dyDescent="0.25">
      <c r="A35" s="16">
        <v>11</v>
      </c>
      <c r="B35" s="16">
        <v>31</v>
      </c>
      <c r="C35" s="17" t="s">
        <v>224</v>
      </c>
      <c r="D35" s="22">
        <v>45755</v>
      </c>
      <c r="E35" s="18" t="s">
        <v>227</v>
      </c>
      <c r="F35" s="19">
        <v>2</v>
      </c>
      <c r="G35" s="19">
        <v>52</v>
      </c>
      <c r="H35" s="20" t="s">
        <v>250</v>
      </c>
      <c r="I35" s="20">
        <v>3</v>
      </c>
      <c r="J35" s="26" t="s">
        <v>237</v>
      </c>
      <c r="K35" s="30" t="s">
        <v>228</v>
      </c>
      <c r="L35" s="30" t="s">
        <v>228</v>
      </c>
      <c r="M35" s="38" t="str">
        <f t="shared" si="0"/>
        <v>Planifier séance 31 (8 avril 2025)</v>
      </c>
    </row>
    <row r="36" spans="1:13" x14ac:dyDescent="0.25">
      <c r="A36" s="16">
        <v>11</v>
      </c>
      <c r="B36" s="16">
        <v>32</v>
      </c>
      <c r="C36" s="17" t="s">
        <v>241</v>
      </c>
      <c r="D36" s="22">
        <v>45756</v>
      </c>
      <c r="E36" s="18" t="s">
        <v>223</v>
      </c>
      <c r="F36" s="19">
        <v>1</v>
      </c>
      <c r="G36" s="19">
        <v>53</v>
      </c>
      <c r="H36" s="20" t="s">
        <v>242</v>
      </c>
      <c r="I36" s="20">
        <v>3</v>
      </c>
      <c r="J36" s="26" t="s">
        <v>237</v>
      </c>
      <c r="K36" s="30" t="s">
        <v>228</v>
      </c>
      <c r="L36" s="30" t="s">
        <v>228</v>
      </c>
      <c r="M36" s="38" t="str">
        <f t="shared" si="0"/>
        <v>Planifier séance 32 (9 avril 2025)</v>
      </c>
    </row>
    <row r="37" spans="1:13" ht="31.5" x14ac:dyDescent="0.25">
      <c r="A37" s="16">
        <v>11</v>
      </c>
      <c r="B37" s="16">
        <v>33</v>
      </c>
      <c r="C37" s="17" t="s">
        <v>248</v>
      </c>
      <c r="D37" s="22">
        <v>45758</v>
      </c>
      <c r="E37" s="18" t="s">
        <v>249</v>
      </c>
      <c r="F37" s="19">
        <v>2</v>
      </c>
      <c r="G37" s="19">
        <v>55</v>
      </c>
      <c r="H37" s="20" t="s">
        <v>243</v>
      </c>
      <c r="I37" s="20">
        <v>3</v>
      </c>
      <c r="J37" s="26" t="s">
        <v>240</v>
      </c>
      <c r="K37" s="30" t="s">
        <v>228</v>
      </c>
      <c r="L37" s="30" t="s">
        <v>228</v>
      </c>
      <c r="M37" s="38" t="str">
        <f t="shared" si="0"/>
        <v>Planifier séance 33 (11 avril 2025)</v>
      </c>
    </row>
    <row r="38" spans="1:13" ht="31.5" x14ac:dyDescent="0.25">
      <c r="A38" s="16">
        <v>12</v>
      </c>
      <c r="B38" s="16">
        <v>34</v>
      </c>
      <c r="C38" s="17" t="s">
        <v>224</v>
      </c>
      <c r="D38" s="22">
        <v>45762</v>
      </c>
      <c r="E38" s="18" t="s">
        <v>227</v>
      </c>
      <c r="F38" s="19">
        <v>2</v>
      </c>
      <c r="G38" s="19">
        <v>57</v>
      </c>
      <c r="H38" s="20" t="s">
        <v>250</v>
      </c>
      <c r="I38" s="20">
        <v>3</v>
      </c>
      <c r="J38" s="26" t="s">
        <v>238</v>
      </c>
      <c r="K38" s="30" t="s">
        <v>228</v>
      </c>
      <c r="L38" s="30" t="s">
        <v>228</v>
      </c>
      <c r="M38" s="38" t="str">
        <f t="shared" si="0"/>
        <v>Planifier séance 34 (15 avril 2025)</v>
      </c>
    </row>
    <row r="39" spans="1:13" x14ac:dyDescent="0.25">
      <c r="A39" s="16">
        <v>12</v>
      </c>
      <c r="B39" s="16">
        <v>35</v>
      </c>
      <c r="C39" s="17" t="s">
        <v>241</v>
      </c>
      <c r="D39" s="22">
        <v>45763</v>
      </c>
      <c r="E39" s="18" t="s">
        <v>223</v>
      </c>
      <c r="F39" s="19">
        <v>1</v>
      </c>
      <c r="G39" s="19">
        <v>58</v>
      </c>
      <c r="H39" s="20" t="s">
        <v>242</v>
      </c>
      <c r="I39" s="20">
        <v>3</v>
      </c>
      <c r="J39" s="30" t="s">
        <v>268</v>
      </c>
      <c r="K39" s="30" t="s">
        <v>268</v>
      </c>
      <c r="L39" s="30" t="s">
        <v>228</v>
      </c>
      <c r="M39" s="38" t="str">
        <f t="shared" si="0"/>
        <v>Planifier séance 35 (16 avril 2025)</v>
      </c>
    </row>
    <row r="40" spans="1:13" s="46" customFormat="1" x14ac:dyDescent="0.25">
      <c r="A40" s="36" t="s">
        <v>228</v>
      </c>
      <c r="B40" s="36" t="s">
        <v>228</v>
      </c>
      <c r="C40" s="41" t="s">
        <v>248</v>
      </c>
      <c r="D40" s="42">
        <v>45765</v>
      </c>
      <c r="E40" s="37" t="s">
        <v>228</v>
      </c>
      <c r="F40" s="37" t="s">
        <v>228</v>
      </c>
      <c r="G40" s="37" t="s">
        <v>228</v>
      </c>
      <c r="H40" s="37" t="s">
        <v>228</v>
      </c>
      <c r="I40" s="37" t="s">
        <v>228</v>
      </c>
      <c r="J40" s="40" t="s">
        <v>228</v>
      </c>
      <c r="K40" s="40" t="s">
        <v>228</v>
      </c>
      <c r="L40" s="40" t="s">
        <v>251</v>
      </c>
      <c r="M40" s="45" t="str">
        <f t="shared" si="0"/>
        <v>Planifier séance — (18 avril 2025)</v>
      </c>
    </row>
    <row r="41" spans="1:13" s="46" customFormat="1" x14ac:dyDescent="0.25">
      <c r="A41" s="36" t="s">
        <v>228</v>
      </c>
      <c r="B41" s="36" t="s">
        <v>228</v>
      </c>
      <c r="C41" s="41" t="s">
        <v>224</v>
      </c>
      <c r="D41" s="42">
        <v>45769</v>
      </c>
      <c r="E41" s="37" t="s">
        <v>228</v>
      </c>
      <c r="F41" s="37" t="s">
        <v>228</v>
      </c>
      <c r="G41" s="37" t="s">
        <v>228</v>
      </c>
      <c r="H41" s="37" t="s">
        <v>228</v>
      </c>
      <c r="I41" s="37" t="s">
        <v>228</v>
      </c>
      <c r="J41" s="40" t="s">
        <v>228</v>
      </c>
      <c r="K41" s="40" t="s">
        <v>228</v>
      </c>
      <c r="L41" s="40" t="s">
        <v>225</v>
      </c>
      <c r="M41" s="45" t="str">
        <f t="shared" si="0"/>
        <v>Planifier séance — (22 avril 2025)</v>
      </c>
    </row>
    <row r="42" spans="1:13" x14ac:dyDescent="0.25">
      <c r="A42" s="16">
        <v>13</v>
      </c>
      <c r="B42" s="16">
        <v>36</v>
      </c>
      <c r="C42" s="17" t="s">
        <v>241</v>
      </c>
      <c r="D42" s="22">
        <v>45770</v>
      </c>
      <c r="E42" s="18" t="s">
        <v>223</v>
      </c>
      <c r="F42" s="19">
        <v>1</v>
      </c>
      <c r="G42" s="19">
        <f>G39+F42</f>
        <v>59</v>
      </c>
      <c r="H42" s="20" t="s">
        <v>242</v>
      </c>
      <c r="I42" s="20">
        <v>3</v>
      </c>
      <c r="J42" s="26" t="s">
        <v>239</v>
      </c>
      <c r="K42" s="30" t="s">
        <v>228</v>
      </c>
      <c r="L42" s="30" t="s">
        <v>228</v>
      </c>
      <c r="M42" s="38" t="str">
        <f t="shared" si="0"/>
        <v>Planifier séance 36 (23 avril 2025)</v>
      </c>
    </row>
    <row r="43" spans="1:13" x14ac:dyDescent="0.25">
      <c r="A43" s="16">
        <v>12</v>
      </c>
      <c r="B43" s="16">
        <v>37</v>
      </c>
      <c r="C43" s="17" t="s">
        <v>248</v>
      </c>
      <c r="D43" s="22">
        <v>45772</v>
      </c>
      <c r="E43" s="18" t="s">
        <v>249</v>
      </c>
      <c r="F43" s="19">
        <v>2</v>
      </c>
      <c r="G43" s="19">
        <f>G42+F43</f>
        <v>61</v>
      </c>
      <c r="H43" s="20" t="s">
        <v>243</v>
      </c>
      <c r="I43" s="20">
        <v>3</v>
      </c>
      <c r="J43" s="26" t="s">
        <v>239</v>
      </c>
      <c r="K43" s="30" t="s">
        <v>228</v>
      </c>
      <c r="L43" s="30" t="s">
        <v>228</v>
      </c>
      <c r="M43" s="38" t="str">
        <f t="shared" si="0"/>
        <v>Planifier séance 37 (25 avril 2025)</v>
      </c>
    </row>
    <row r="44" spans="1:13" x14ac:dyDescent="0.25">
      <c r="A44" s="16">
        <v>14</v>
      </c>
      <c r="B44" s="16">
        <v>38</v>
      </c>
      <c r="C44" s="17" t="s">
        <v>224</v>
      </c>
      <c r="D44" s="22">
        <v>45776</v>
      </c>
      <c r="E44" s="18" t="s">
        <v>227</v>
      </c>
      <c r="F44" s="19">
        <v>2</v>
      </c>
      <c r="G44" s="19">
        <f t="shared" ref="G44:G50" si="1">G43+F44</f>
        <v>63</v>
      </c>
      <c r="H44" s="20" t="s">
        <v>250</v>
      </c>
      <c r="I44" s="20">
        <v>3</v>
      </c>
      <c r="J44" s="26" t="s">
        <v>239</v>
      </c>
      <c r="K44" s="30" t="s">
        <v>228</v>
      </c>
      <c r="L44" s="30" t="s">
        <v>228</v>
      </c>
      <c r="M44" s="38" t="str">
        <f t="shared" si="0"/>
        <v>Planifier séance 38 (29 avril 2025)</v>
      </c>
    </row>
    <row r="45" spans="1:13" ht="47.25" x14ac:dyDescent="0.25">
      <c r="A45" s="16">
        <v>14</v>
      </c>
      <c r="B45" s="16">
        <v>39</v>
      </c>
      <c r="C45" s="17" t="s">
        <v>241</v>
      </c>
      <c r="D45" s="22">
        <v>45777</v>
      </c>
      <c r="E45" s="18" t="s">
        <v>223</v>
      </c>
      <c r="F45" s="19">
        <v>1</v>
      </c>
      <c r="G45" s="19">
        <f t="shared" si="1"/>
        <v>64</v>
      </c>
      <c r="H45" s="20" t="s">
        <v>242</v>
      </c>
      <c r="I45" s="20">
        <v>3</v>
      </c>
      <c r="J45" s="26" t="s">
        <v>271</v>
      </c>
      <c r="K45" s="30" t="s">
        <v>228</v>
      </c>
      <c r="L45" s="30" t="s">
        <v>228</v>
      </c>
      <c r="M45" s="38" t="str">
        <f t="shared" si="0"/>
        <v>Planifier séance 39 (30 avril 2025)</v>
      </c>
    </row>
    <row r="46" spans="1:13" x14ac:dyDescent="0.25">
      <c r="A46" s="16">
        <v>13</v>
      </c>
      <c r="B46" s="16">
        <v>40</v>
      </c>
      <c r="C46" s="17" t="s">
        <v>248</v>
      </c>
      <c r="D46" s="22">
        <v>45779</v>
      </c>
      <c r="E46" s="18" t="s">
        <v>249</v>
      </c>
      <c r="F46" s="19">
        <v>2</v>
      </c>
      <c r="G46" s="19">
        <f t="shared" si="1"/>
        <v>66</v>
      </c>
      <c r="H46" s="20" t="s">
        <v>243</v>
      </c>
      <c r="I46" s="20">
        <v>3</v>
      </c>
      <c r="J46" s="26" t="s">
        <v>272</v>
      </c>
      <c r="K46" s="30" t="s">
        <v>269</v>
      </c>
      <c r="L46" s="30" t="s">
        <v>228</v>
      </c>
      <c r="M46" s="38" t="str">
        <f t="shared" si="0"/>
        <v>Planifier séance 40 (2 mai 2025)</v>
      </c>
    </row>
    <row r="47" spans="1:13" x14ac:dyDescent="0.25">
      <c r="A47" s="16">
        <v>15</v>
      </c>
      <c r="B47" s="16">
        <v>41</v>
      </c>
      <c r="C47" s="17" t="s">
        <v>224</v>
      </c>
      <c r="D47" s="22">
        <v>45783</v>
      </c>
      <c r="E47" s="18" t="s">
        <v>227</v>
      </c>
      <c r="F47" s="19">
        <v>2</v>
      </c>
      <c r="G47" s="19">
        <f t="shared" si="1"/>
        <v>68</v>
      </c>
      <c r="H47" s="20" t="s">
        <v>250</v>
      </c>
      <c r="I47" s="20">
        <v>3</v>
      </c>
      <c r="J47" s="21" t="s">
        <v>273</v>
      </c>
      <c r="K47" s="30" t="s">
        <v>228</v>
      </c>
      <c r="L47" s="30" t="s">
        <v>228</v>
      </c>
      <c r="M47" s="38" t="str">
        <f t="shared" si="0"/>
        <v>Planifier séance 41 (6 mai 2025)</v>
      </c>
    </row>
    <row r="48" spans="1:13" x14ac:dyDescent="0.25">
      <c r="A48" s="16">
        <v>15</v>
      </c>
      <c r="B48" s="16">
        <v>42</v>
      </c>
      <c r="C48" s="17" t="s">
        <v>241</v>
      </c>
      <c r="D48" s="22">
        <v>45784</v>
      </c>
      <c r="E48" s="18" t="s">
        <v>223</v>
      </c>
      <c r="F48" s="19">
        <v>1</v>
      </c>
      <c r="G48" s="19">
        <f t="shared" si="1"/>
        <v>69</v>
      </c>
      <c r="H48" s="20" t="s">
        <v>242</v>
      </c>
      <c r="I48" s="20">
        <v>3</v>
      </c>
      <c r="J48" s="21" t="s">
        <v>273</v>
      </c>
      <c r="K48" s="30" t="s">
        <v>228</v>
      </c>
      <c r="L48" s="30" t="s">
        <v>228</v>
      </c>
      <c r="M48" s="38" t="str">
        <f t="shared" si="0"/>
        <v>Planifier séance 42 (7 mai 2025)</v>
      </c>
    </row>
    <row r="49" spans="1:13" x14ac:dyDescent="0.25">
      <c r="A49" s="16">
        <v>14</v>
      </c>
      <c r="B49" s="16">
        <v>43</v>
      </c>
      <c r="C49" s="17" t="s">
        <v>248</v>
      </c>
      <c r="D49" s="22">
        <v>45786</v>
      </c>
      <c r="E49" s="18" t="s">
        <v>249</v>
      </c>
      <c r="F49" s="19">
        <v>2</v>
      </c>
      <c r="G49" s="19">
        <f t="shared" si="1"/>
        <v>71</v>
      </c>
      <c r="H49" s="20" t="s">
        <v>243</v>
      </c>
      <c r="I49" s="20">
        <v>3</v>
      </c>
      <c r="J49" s="21" t="s">
        <v>273</v>
      </c>
      <c r="K49" s="30" t="s">
        <v>270</v>
      </c>
      <c r="L49" s="30" t="s">
        <v>228</v>
      </c>
      <c r="M49" s="38" t="str">
        <f t="shared" si="0"/>
        <v>Planifier séance 43 (9 mai 2025)</v>
      </c>
    </row>
    <row r="50" spans="1:13" x14ac:dyDescent="0.25">
      <c r="A50" s="16">
        <v>16</v>
      </c>
      <c r="B50" s="16">
        <v>44</v>
      </c>
      <c r="C50" s="17" t="s">
        <v>224</v>
      </c>
      <c r="D50" s="22">
        <v>45790</v>
      </c>
      <c r="E50" s="18" t="s">
        <v>227</v>
      </c>
      <c r="F50" s="19">
        <v>2</v>
      </c>
      <c r="G50" s="19">
        <f t="shared" si="1"/>
        <v>73</v>
      </c>
      <c r="H50" s="20" t="s">
        <v>250</v>
      </c>
      <c r="I50" s="20">
        <v>3</v>
      </c>
      <c r="J50" s="26" t="s">
        <v>14</v>
      </c>
      <c r="K50" s="30" t="s">
        <v>228</v>
      </c>
      <c r="L50" s="30" t="s">
        <v>228</v>
      </c>
      <c r="M50" s="38" t="str">
        <f t="shared" si="0"/>
        <v>Planifier séance 44 (13 mai 2025)</v>
      </c>
    </row>
    <row r="51" spans="1:13" s="44" customFormat="1" x14ac:dyDescent="0.25">
      <c r="A51" s="36" t="s">
        <v>228</v>
      </c>
      <c r="B51" s="36" t="s">
        <v>228</v>
      </c>
      <c r="C51" s="41" t="s">
        <v>241</v>
      </c>
      <c r="D51" s="42">
        <v>45791</v>
      </c>
      <c r="E51" s="37" t="s">
        <v>228</v>
      </c>
      <c r="F51" s="37" t="s">
        <v>228</v>
      </c>
      <c r="G51" s="37" t="s">
        <v>228</v>
      </c>
      <c r="H51" s="37" t="s">
        <v>228</v>
      </c>
      <c r="I51" s="37" t="s">
        <v>228</v>
      </c>
      <c r="J51" s="40" t="s">
        <v>228</v>
      </c>
      <c r="K51" s="40" t="s">
        <v>228</v>
      </c>
      <c r="L51" s="40" t="s">
        <v>245</v>
      </c>
      <c r="M51" s="45" t="str">
        <f t="shared" si="0"/>
        <v>Planifier séance — (14 mai 2025)</v>
      </c>
    </row>
    <row r="52" spans="1:13" x14ac:dyDescent="0.25">
      <c r="A52" s="16">
        <v>15</v>
      </c>
      <c r="B52" s="16">
        <v>45</v>
      </c>
      <c r="C52" s="17" t="s">
        <v>248</v>
      </c>
      <c r="D52" s="22">
        <v>45793</v>
      </c>
      <c r="E52" s="18" t="s">
        <v>249</v>
      </c>
      <c r="F52" s="19">
        <v>2</v>
      </c>
      <c r="G52" s="19">
        <f>G50+F52</f>
        <v>75</v>
      </c>
      <c r="H52" s="20" t="s">
        <v>243</v>
      </c>
      <c r="I52" s="20">
        <v>3</v>
      </c>
      <c r="J52" s="30" t="s">
        <v>226</v>
      </c>
      <c r="K52" s="30" t="s">
        <v>226</v>
      </c>
      <c r="L52" s="30" t="s">
        <v>228</v>
      </c>
      <c r="M52" s="38" t="str">
        <f t="shared" si="0"/>
        <v>Planifier séance 45 (16 mai 2025)</v>
      </c>
    </row>
    <row r="53" spans="1:13" x14ac:dyDescent="0.25">
      <c r="A53" s="19">
        <v>16</v>
      </c>
      <c r="B53" s="19">
        <v>46</v>
      </c>
      <c r="C53" s="17" t="s">
        <v>224</v>
      </c>
      <c r="D53" s="22">
        <v>45797</v>
      </c>
      <c r="E53" s="18" t="s">
        <v>227</v>
      </c>
      <c r="F53" s="19">
        <v>2</v>
      </c>
      <c r="G53" s="19">
        <f>G52+F53</f>
        <v>77</v>
      </c>
      <c r="H53" s="20" t="s">
        <v>250</v>
      </c>
      <c r="I53" s="20">
        <v>3</v>
      </c>
      <c r="J53" s="30" t="s">
        <v>228</v>
      </c>
      <c r="K53" s="30" t="s">
        <v>228</v>
      </c>
      <c r="L53" s="30" t="s">
        <v>228</v>
      </c>
      <c r="M53" s="38" t="str">
        <f t="shared" ref="M53" si="2">"Planifier séance "&amp;B53&amp;" ("&amp;TEXT(D53,"J MMMM AAAA")&amp;")"</f>
        <v>Planifier séance 46 (20 mai 2025)</v>
      </c>
    </row>
    <row r="54" spans="1:13" x14ac:dyDescent="0.25">
      <c r="A54" s="19">
        <v>16</v>
      </c>
      <c r="B54" s="19">
        <v>47</v>
      </c>
      <c r="C54" s="17" t="s">
        <v>241</v>
      </c>
      <c r="D54" s="22">
        <v>45798</v>
      </c>
      <c r="E54" s="18" t="s">
        <v>223</v>
      </c>
      <c r="F54" s="19">
        <v>1</v>
      </c>
      <c r="G54" s="19">
        <f>G53+F54</f>
        <v>78</v>
      </c>
      <c r="H54" s="20" t="s">
        <v>242</v>
      </c>
      <c r="I54" s="20">
        <v>3</v>
      </c>
      <c r="J54" s="30" t="s">
        <v>228</v>
      </c>
      <c r="K54" s="30" t="s">
        <v>228</v>
      </c>
      <c r="L54" s="24" t="s">
        <v>228</v>
      </c>
      <c r="M54" s="38" t="str">
        <f t="shared" si="0"/>
        <v>Planifier séance 47 (21 mai 2025)</v>
      </c>
    </row>
    <row r="55" spans="1:13" x14ac:dyDescent="0.25">
      <c r="A55" s="19">
        <v>16</v>
      </c>
      <c r="B55" s="19">
        <v>48</v>
      </c>
      <c r="C55" s="17" t="s">
        <v>248</v>
      </c>
      <c r="D55" s="22">
        <v>45800</v>
      </c>
      <c r="E55" s="18" t="s">
        <v>249</v>
      </c>
      <c r="F55" s="19">
        <v>2</v>
      </c>
      <c r="G55" s="19">
        <f t="shared" ref="G55" si="3">G54+F55</f>
        <v>80</v>
      </c>
      <c r="H55" s="20" t="s">
        <v>243</v>
      </c>
      <c r="I55" s="20">
        <v>3</v>
      </c>
      <c r="J55" s="30" t="s">
        <v>228</v>
      </c>
      <c r="K55" s="30" t="s">
        <v>228</v>
      </c>
      <c r="L55" s="24" t="s">
        <v>228</v>
      </c>
      <c r="M55" s="38" t="str">
        <f t="shared" si="0"/>
        <v>Planifier séance 48 (23 mai 2025)</v>
      </c>
    </row>
    <row r="56" spans="1:13" x14ac:dyDescent="0.25">
      <c r="J56"/>
      <c r="K56"/>
    </row>
    <row r="57" spans="1:13" x14ac:dyDescent="0.25">
      <c r="J57"/>
      <c r="K57"/>
    </row>
    <row r="58" spans="1:13" x14ac:dyDescent="0.25">
      <c r="J58"/>
      <c r="K58"/>
    </row>
    <row r="59" spans="1:13" x14ac:dyDescent="0.25">
      <c r="J59"/>
      <c r="K59"/>
    </row>
    <row r="60" spans="1:13" x14ac:dyDescent="0.25">
      <c r="J60"/>
      <c r="K60"/>
    </row>
    <row r="61" spans="1:13" x14ac:dyDescent="0.25">
      <c r="J61"/>
      <c r="K61"/>
    </row>
    <row r="62" spans="1:13" x14ac:dyDescent="0.25">
      <c r="J62"/>
      <c r="K62"/>
    </row>
    <row r="63" spans="1:13" x14ac:dyDescent="0.25">
      <c r="J63"/>
      <c r="K63"/>
    </row>
    <row r="64" spans="1:13" x14ac:dyDescent="0.25">
      <c r="J64"/>
      <c r="K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zoomScale="130" zoomScaleNormal="130" workbookViewId="0"/>
  </sheetViews>
  <sheetFormatPr baseColWidth="10" defaultColWidth="11.5546875" defaultRowHeight="25.5" customHeight="1" x14ac:dyDescent="0.25"/>
  <cols>
    <col min="1" max="1" width="6" style="1" bestFit="1" customWidth="1"/>
    <col min="2" max="2" width="10.44140625" style="1" bestFit="1" customWidth="1"/>
    <col min="3" max="3" width="5.88671875" style="1" bestFit="1" customWidth="1"/>
    <col min="4" max="16384" width="11.5546875" style="1"/>
  </cols>
  <sheetData>
    <row r="1" spans="1:3" ht="25.5" customHeight="1" x14ac:dyDescent="0.25">
      <c r="A1" s="27" t="s">
        <v>10</v>
      </c>
      <c r="B1" s="28" t="s">
        <v>11</v>
      </c>
      <c r="C1" s="28" t="s">
        <v>8</v>
      </c>
    </row>
    <row r="2" spans="1:3" ht="25.5" customHeight="1" x14ac:dyDescent="0.25">
      <c r="A2" s="2">
        <v>1</v>
      </c>
      <c r="B2" s="3" t="s">
        <v>252</v>
      </c>
      <c r="C2" s="3">
        <v>20</v>
      </c>
    </row>
    <row r="3" spans="1:3" ht="25.5" customHeight="1" x14ac:dyDescent="0.25">
      <c r="A3" s="2">
        <v>2</v>
      </c>
      <c r="B3" s="3" t="s">
        <v>253</v>
      </c>
      <c r="C3" s="3">
        <v>30</v>
      </c>
    </row>
    <row r="4" spans="1:3" ht="25.5" customHeight="1" x14ac:dyDescent="0.25">
      <c r="A4" s="2">
        <v>3</v>
      </c>
      <c r="B4" s="3" t="s">
        <v>254</v>
      </c>
      <c r="C4" s="3">
        <v>25</v>
      </c>
    </row>
    <row r="5" spans="1:3" ht="25.5" customHeight="1" x14ac:dyDescent="0.25">
      <c r="B5" s="29" t="s">
        <v>17</v>
      </c>
      <c r="C5" s="29">
        <f>SUM(C2:C4)</f>
        <v>75</v>
      </c>
    </row>
  </sheetData>
  <pageMargins left="0.7" right="0.7" top="0.75" bottom="0.75" header="0.3" footer="0.3"/>
  <pageSetup paperSize="11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3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70" sqref="A70"/>
    </sheetView>
  </sheetViews>
  <sheetFormatPr baseColWidth="10" defaultRowHeight="15.75" x14ac:dyDescent="0.25"/>
  <cols>
    <col min="1" max="1" width="50.44140625" customWidth="1"/>
    <col min="2" max="2" width="44" customWidth="1"/>
    <col min="3" max="3" width="5.88671875" bestFit="1" customWidth="1"/>
    <col min="4" max="4" width="20" bestFit="1" customWidth="1"/>
    <col min="5" max="5" width="42.21875" bestFit="1" customWidth="1"/>
  </cols>
  <sheetData>
    <row r="1" spans="1:6" x14ac:dyDescent="0.25">
      <c r="A1" s="4" t="s">
        <v>21</v>
      </c>
      <c r="B1" s="4" t="s">
        <v>11</v>
      </c>
      <c r="C1" s="4" t="s">
        <v>8</v>
      </c>
      <c r="D1" s="4" t="s">
        <v>19</v>
      </c>
      <c r="E1" s="4" t="s">
        <v>20</v>
      </c>
    </row>
    <row r="2" spans="1:6" x14ac:dyDescent="0.25">
      <c r="A2" s="13" t="s">
        <v>32</v>
      </c>
      <c r="B2" s="5" t="s">
        <v>38</v>
      </c>
      <c r="C2" s="6">
        <v>4.9074074074074072E-3</v>
      </c>
      <c r="D2" s="7" t="s">
        <v>85</v>
      </c>
      <c r="E2" s="8" t="s">
        <v>35</v>
      </c>
      <c r="F2" t="str">
        <f>B2&amp;" ("&amp;TEXT(C2,"mm:ss")&amp;")"</f>
        <v>Opérations sur les polynômes - Addition, soustraction, produit et division (07:04)</v>
      </c>
    </row>
    <row r="3" spans="1:6" x14ac:dyDescent="0.25">
      <c r="A3" s="13" t="s">
        <v>32</v>
      </c>
      <c r="B3" s="5" t="s">
        <v>37</v>
      </c>
      <c r="C3" s="6">
        <v>4.2592592592592595E-3</v>
      </c>
      <c r="D3" s="7" t="s">
        <v>85</v>
      </c>
      <c r="E3" s="8" t="s">
        <v>36</v>
      </c>
      <c r="F3" t="str">
        <f t="shared" ref="F3:F55" si="0">B3&amp;" ("&amp;TEXT(C3,"mm:ss")&amp;")"</f>
        <v>Division de polynômes - Division euclidienne (06:08)</v>
      </c>
    </row>
    <row r="4" spans="1:6" x14ac:dyDescent="0.25">
      <c r="A4" s="13" t="s">
        <v>33</v>
      </c>
      <c r="B4" s="5" t="s">
        <v>39</v>
      </c>
      <c r="C4" s="6">
        <v>4.8611111111111112E-3</v>
      </c>
      <c r="D4" s="7" t="s">
        <v>85</v>
      </c>
      <c r="E4" s="8" t="s">
        <v>40</v>
      </c>
      <c r="F4" t="str">
        <f t="shared" si="0"/>
        <v>Mise en évidence simple - Technique de factorisation (07:00)</v>
      </c>
    </row>
    <row r="5" spans="1:6" x14ac:dyDescent="0.25">
      <c r="A5" s="13" t="s">
        <v>33</v>
      </c>
      <c r="B5" s="5" t="s">
        <v>41</v>
      </c>
      <c r="C5" s="6">
        <v>3.1597222222222222E-3</v>
      </c>
      <c r="D5" s="7" t="s">
        <v>85</v>
      </c>
      <c r="E5" s="8" t="s">
        <v>42</v>
      </c>
      <c r="F5" t="str">
        <f t="shared" si="0"/>
        <v>Mise en évidence double - Technique de factorisation (04:33)</v>
      </c>
    </row>
    <row r="6" spans="1:6" x14ac:dyDescent="0.25">
      <c r="A6" s="13" t="s">
        <v>33</v>
      </c>
      <c r="B6" s="5" t="s">
        <v>43</v>
      </c>
      <c r="C6" s="6">
        <v>2.0949074074074073E-3</v>
      </c>
      <c r="D6" s="7" t="s">
        <v>85</v>
      </c>
      <c r="E6" s="8" t="s">
        <v>44</v>
      </c>
      <c r="F6" t="str">
        <f t="shared" si="0"/>
        <v>Trinôme carré parfait - Technique de factorisation (03:01)</v>
      </c>
    </row>
    <row r="7" spans="1:6" x14ac:dyDescent="0.25">
      <c r="A7" s="13" t="s">
        <v>33</v>
      </c>
      <c r="B7" s="5" t="s">
        <v>45</v>
      </c>
      <c r="C7" s="6">
        <v>6.122685185185185E-3</v>
      </c>
      <c r="D7" s="7" t="s">
        <v>85</v>
      </c>
      <c r="E7" s="8" t="s">
        <v>46</v>
      </c>
      <c r="F7" t="str">
        <f t="shared" si="0"/>
        <v>Trinôme général - Technique de factorisation (08:49)</v>
      </c>
    </row>
    <row r="8" spans="1:6" x14ac:dyDescent="0.25">
      <c r="A8" s="13" t="s">
        <v>33</v>
      </c>
      <c r="B8" s="5" t="s">
        <v>47</v>
      </c>
      <c r="C8" s="6">
        <v>3.0208333333333333E-3</v>
      </c>
      <c r="D8" s="7" t="s">
        <v>85</v>
      </c>
      <c r="E8" s="8" t="s">
        <v>48</v>
      </c>
      <c r="F8" t="str">
        <f t="shared" si="0"/>
        <v>Différence de deux carrés - Technique de factorisation (04:21)</v>
      </c>
    </row>
    <row r="9" spans="1:6" x14ac:dyDescent="0.25">
      <c r="A9" s="13" t="s">
        <v>33</v>
      </c>
      <c r="B9" s="5" t="s">
        <v>50</v>
      </c>
      <c r="C9" s="6">
        <v>5.185185185185185E-3</v>
      </c>
      <c r="D9" s="7" t="s">
        <v>85</v>
      </c>
      <c r="E9" s="8" t="s">
        <v>49</v>
      </c>
      <c r="F9" t="str">
        <f t="shared" si="0"/>
        <v>Complétion du carré - Technique de factorisation (07:28)</v>
      </c>
    </row>
    <row r="10" spans="1:6" x14ac:dyDescent="0.25">
      <c r="A10" s="13" t="s">
        <v>33</v>
      </c>
      <c r="B10" s="5" t="s">
        <v>52</v>
      </c>
      <c r="C10" s="6">
        <v>3.7962962962962963E-3</v>
      </c>
      <c r="D10" s="7" t="s">
        <v>85</v>
      </c>
      <c r="E10" s="8" t="s">
        <v>51</v>
      </c>
      <c r="F10" t="str">
        <f t="shared" si="0"/>
        <v>Somme et différence de cubes - Technique de factorisation (05:28)</v>
      </c>
    </row>
    <row r="11" spans="1:6" x14ac:dyDescent="0.25">
      <c r="A11" s="13" t="s">
        <v>34</v>
      </c>
      <c r="B11" s="5" t="s">
        <v>54</v>
      </c>
      <c r="C11" s="6">
        <v>4.8842592592592592E-3</v>
      </c>
      <c r="D11" s="7" t="s">
        <v>85</v>
      </c>
      <c r="E11" s="8" t="s">
        <v>53</v>
      </c>
      <c r="F11" t="str">
        <f t="shared" si="0"/>
        <v>Simplification de fractions rationnelles (07:02)</v>
      </c>
    </row>
    <row r="12" spans="1:6" x14ac:dyDescent="0.25">
      <c r="A12" s="13" t="s">
        <v>34</v>
      </c>
      <c r="B12" s="5" t="s">
        <v>55</v>
      </c>
      <c r="C12" s="6">
        <v>5.5092592592592589E-3</v>
      </c>
      <c r="D12" s="7" t="s">
        <v>85</v>
      </c>
      <c r="E12" s="8" t="s">
        <v>56</v>
      </c>
      <c r="F12" t="str">
        <f t="shared" si="0"/>
        <v>Opérations sur les fractions rationnelles (07:56)</v>
      </c>
    </row>
    <row r="13" spans="1:6" x14ac:dyDescent="0.25">
      <c r="A13" s="13" t="s">
        <v>34</v>
      </c>
      <c r="B13" s="5" t="s">
        <v>57</v>
      </c>
      <c r="C13" s="6">
        <v>3.6574074074074074E-3</v>
      </c>
      <c r="D13" s="7" t="s">
        <v>85</v>
      </c>
      <c r="E13" s="8" t="s">
        <v>58</v>
      </c>
      <c r="F13" t="str">
        <f t="shared" si="0"/>
        <v>Simplification de fractions complexes (05:16)</v>
      </c>
    </row>
    <row r="14" spans="1:6" x14ac:dyDescent="0.25">
      <c r="A14" s="13" t="s">
        <v>59</v>
      </c>
      <c r="B14" s="5" t="s">
        <v>60</v>
      </c>
      <c r="C14" s="6">
        <v>6.2499999999999995E-3</v>
      </c>
      <c r="D14" s="7" t="s">
        <v>85</v>
      </c>
      <c r="E14" s="8" t="s">
        <v>61</v>
      </c>
      <c r="F14" t="str">
        <f t="shared" si="0"/>
        <v>Résolution d'équations linéaires (09:00)</v>
      </c>
    </row>
    <row r="15" spans="1:6" x14ac:dyDescent="0.25">
      <c r="A15" s="13" t="s">
        <v>59</v>
      </c>
      <c r="B15" s="5" t="s">
        <v>62</v>
      </c>
      <c r="C15" s="6">
        <v>6.2731481481481484E-3</v>
      </c>
      <c r="D15" s="7" t="s">
        <v>85</v>
      </c>
      <c r="E15" s="8" t="s">
        <v>63</v>
      </c>
      <c r="F15" t="str">
        <f t="shared" si="0"/>
        <v>Résolution d'équations quadratiques (09:02)</v>
      </c>
    </row>
    <row r="16" spans="1:6" x14ac:dyDescent="0.25">
      <c r="A16" s="13" t="s">
        <v>59</v>
      </c>
      <c r="B16" s="5" t="s">
        <v>64</v>
      </c>
      <c r="C16" s="6">
        <v>6.145833333333333E-3</v>
      </c>
      <c r="D16" s="7" t="s">
        <v>85</v>
      </c>
      <c r="E16" s="8" t="s">
        <v>65</v>
      </c>
      <c r="F16" t="str">
        <f t="shared" si="0"/>
        <v>Résolution d'équations contenant des fractions rationnelles (08:51)</v>
      </c>
    </row>
    <row r="17" spans="1:6" x14ac:dyDescent="0.25">
      <c r="A17" s="14" t="s">
        <v>24</v>
      </c>
      <c r="B17" s="7" t="s">
        <v>13</v>
      </c>
      <c r="C17" s="6">
        <v>4.31712962962963E-3</v>
      </c>
      <c r="D17" s="7" t="s">
        <v>85</v>
      </c>
      <c r="E17" s="8" t="s">
        <v>18</v>
      </c>
      <c r="F17" t="str">
        <f t="shared" si="0"/>
        <v>Les fonctions (06:13)</v>
      </c>
    </row>
    <row r="18" spans="1:6" x14ac:dyDescent="0.25">
      <c r="A18" s="14" t="s">
        <v>24</v>
      </c>
      <c r="B18" s="7" t="s">
        <v>28</v>
      </c>
      <c r="C18" s="6">
        <v>7.2337962962962963E-3</v>
      </c>
      <c r="D18" s="7" t="s">
        <v>85</v>
      </c>
      <c r="E18" s="8" t="s">
        <v>27</v>
      </c>
      <c r="F18" t="str">
        <f t="shared" si="0"/>
        <v>Domaine de fonctions (10:25)</v>
      </c>
    </row>
    <row r="19" spans="1:6" x14ac:dyDescent="0.25">
      <c r="A19" s="14" t="s">
        <v>25</v>
      </c>
      <c r="B19" s="7" t="s">
        <v>23</v>
      </c>
      <c r="C19" s="6">
        <v>2.9513888888888888E-3</v>
      </c>
      <c r="D19" s="7" t="s">
        <v>85</v>
      </c>
      <c r="E19" s="8" t="s">
        <v>22</v>
      </c>
      <c r="F19" t="str">
        <f t="shared" si="0"/>
        <v>Composition de fonctions (04:15)</v>
      </c>
    </row>
    <row r="20" spans="1:6" x14ac:dyDescent="0.25">
      <c r="A20" s="14" t="s">
        <v>26</v>
      </c>
      <c r="B20" s="7" t="s">
        <v>72</v>
      </c>
      <c r="C20" s="6">
        <v>3.1944444444444442E-3</v>
      </c>
      <c r="D20" s="7" t="s">
        <v>71</v>
      </c>
      <c r="E20" s="8" t="s">
        <v>70</v>
      </c>
      <c r="F20" t="str">
        <f t="shared" si="0"/>
        <v>Équation de la fonction affine (04:36)</v>
      </c>
    </row>
    <row r="21" spans="1:6" x14ac:dyDescent="0.25">
      <c r="A21" s="14" t="s">
        <v>26</v>
      </c>
      <c r="B21" s="7" t="s">
        <v>74</v>
      </c>
      <c r="C21" s="6">
        <v>3.5532407407407405E-3</v>
      </c>
      <c r="D21" s="7" t="s">
        <v>71</v>
      </c>
      <c r="E21" s="8" t="s">
        <v>73</v>
      </c>
      <c r="F21" t="str">
        <f t="shared" si="0"/>
        <v>Graphique de la fonction affine (05:07)</v>
      </c>
    </row>
    <row r="22" spans="1:6" x14ac:dyDescent="0.25">
      <c r="A22" s="14" t="s">
        <v>29</v>
      </c>
      <c r="B22" s="7" t="s">
        <v>76</v>
      </c>
      <c r="C22" s="6">
        <v>2.3611111111111111E-3</v>
      </c>
      <c r="D22" s="7" t="s">
        <v>71</v>
      </c>
      <c r="E22" s="8" t="s">
        <v>75</v>
      </c>
      <c r="F22" t="str">
        <f t="shared" si="0"/>
        <v>Les zéros de la fonction polynomiale de degré 2 (générale) (03:24)</v>
      </c>
    </row>
    <row r="23" spans="1:6" x14ac:dyDescent="0.25">
      <c r="A23" s="14" t="s">
        <v>29</v>
      </c>
      <c r="B23" s="7" t="s">
        <v>78</v>
      </c>
      <c r="C23" s="6">
        <v>4.5717592592592589E-3</v>
      </c>
      <c r="D23" s="7" t="s">
        <v>71</v>
      </c>
      <c r="E23" s="8" t="s">
        <v>77</v>
      </c>
      <c r="F23" t="str">
        <f t="shared" si="0"/>
        <v>Graphique de la fonction polynomiale de degré 2 (06:35)</v>
      </c>
    </row>
    <row r="24" spans="1:6" x14ac:dyDescent="0.25">
      <c r="A24" s="14" t="s">
        <v>30</v>
      </c>
      <c r="B24" s="7" t="s">
        <v>79</v>
      </c>
      <c r="C24" s="6">
        <v>2.8356481481481479E-3</v>
      </c>
      <c r="D24" s="7" t="s">
        <v>71</v>
      </c>
      <c r="E24" s="8" t="s">
        <v>80</v>
      </c>
      <c r="F24" t="str">
        <f t="shared" si="0"/>
        <v>Équation de la fonction valeur absolue (04:05)</v>
      </c>
    </row>
    <row r="25" spans="1:6" x14ac:dyDescent="0.25">
      <c r="A25" s="14" t="s">
        <v>30</v>
      </c>
      <c r="B25" s="7" t="s">
        <v>81</v>
      </c>
      <c r="C25" s="6">
        <v>7.0254629629629634E-3</v>
      </c>
      <c r="D25" s="7" t="s">
        <v>71</v>
      </c>
      <c r="E25" s="8" t="s">
        <v>82</v>
      </c>
      <c r="F25" t="str">
        <f t="shared" si="0"/>
        <v>Graphique de la fonction valeur absolue (10:07)</v>
      </c>
    </row>
    <row r="26" spans="1:6" x14ac:dyDescent="0.25">
      <c r="A26" s="14" t="s">
        <v>30</v>
      </c>
      <c r="B26" s="7" t="s">
        <v>68</v>
      </c>
      <c r="C26" s="6">
        <v>4.2939814814814811E-3</v>
      </c>
      <c r="D26" s="7" t="s">
        <v>85</v>
      </c>
      <c r="E26" s="8" t="s">
        <v>69</v>
      </c>
      <c r="F26" t="str">
        <f t="shared" si="0"/>
        <v>Résolution d'équations contenant des valeurs absolues (06:11)</v>
      </c>
    </row>
    <row r="27" spans="1:6" x14ac:dyDescent="0.25">
      <c r="A27" s="14" t="s">
        <v>31</v>
      </c>
      <c r="B27" s="7" t="s">
        <v>83</v>
      </c>
      <c r="C27" s="6">
        <v>4.6759259259259263E-3</v>
      </c>
      <c r="D27" s="7" t="s">
        <v>71</v>
      </c>
      <c r="E27" s="8" t="s">
        <v>84</v>
      </c>
      <c r="F27" t="str">
        <f t="shared" si="0"/>
        <v>Équation de la fonction racine carrée (06:44)</v>
      </c>
    </row>
    <row r="28" spans="1:6" x14ac:dyDescent="0.25">
      <c r="A28" s="14" t="s">
        <v>31</v>
      </c>
      <c r="B28" s="7" t="s">
        <v>86</v>
      </c>
      <c r="C28" s="6">
        <v>6.4004629629629628E-3</v>
      </c>
      <c r="D28" s="7" t="s">
        <v>71</v>
      </c>
      <c r="E28" s="8" t="s">
        <v>87</v>
      </c>
      <c r="F28" t="str">
        <f t="shared" si="0"/>
        <v>Graphique de la fonction racine carrée (09:13)</v>
      </c>
    </row>
    <row r="29" spans="1:6" x14ac:dyDescent="0.25">
      <c r="A29" s="14" t="s">
        <v>31</v>
      </c>
      <c r="B29" s="7" t="s">
        <v>66</v>
      </c>
      <c r="C29" s="6">
        <v>7.0601851851851841E-3</v>
      </c>
      <c r="D29" s="7" t="s">
        <v>85</v>
      </c>
      <c r="E29" s="8" t="s">
        <v>67</v>
      </c>
      <c r="F29" t="str">
        <f t="shared" si="0"/>
        <v>Résolution d'équations contenant des racines carrées (10:10)</v>
      </c>
    </row>
    <row r="30" spans="1:6" x14ac:dyDescent="0.25">
      <c r="A30" s="14" t="s">
        <v>88</v>
      </c>
      <c r="B30" s="9" t="s">
        <v>160</v>
      </c>
      <c r="C30" s="10"/>
      <c r="D30" s="9"/>
      <c r="E30" s="9"/>
    </row>
    <row r="31" spans="1:6" x14ac:dyDescent="0.25">
      <c r="A31" s="14" t="s">
        <v>165</v>
      </c>
      <c r="B31" s="7" t="s">
        <v>108</v>
      </c>
      <c r="C31" s="6">
        <v>5.4282407407407404E-3</v>
      </c>
      <c r="D31" s="7" t="s">
        <v>85</v>
      </c>
      <c r="E31" s="8" t="s">
        <v>107</v>
      </c>
      <c r="F31" t="str">
        <f t="shared" si="0"/>
        <v>Calcul de limites - Approche graphique (07:49)</v>
      </c>
    </row>
    <row r="32" spans="1:6" x14ac:dyDescent="0.25">
      <c r="A32" s="14" t="s">
        <v>166</v>
      </c>
      <c r="B32" s="7" t="s">
        <v>110</v>
      </c>
      <c r="C32" s="6">
        <v>7.8125E-3</v>
      </c>
      <c r="D32" s="7" t="s">
        <v>85</v>
      </c>
      <c r="E32" s="8" t="s">
        <v>109</v>
      </c>
      <c r="F32" t="str">
        <f t="shared" si="0"/>
        <v>La limite à gauche et la limite à droite (11:15)</v>
      </c>
    </row>
    <row r="33" spans="1:6" x14ac:dyDescent="0.25">
      <c r="A33" s="14" t="s">
        <v>167</v>
      </c>
      <c r="B33" s="7" t="s">
        <v>112</v>
      </c>
      <c r="C33" s="6">
        <v>5.9953703703703697E-3</v>
      </c>
      <c r="D33" s="7" t="s">
        <v>85</v>
      </c>
      <c r="E33" s="8" t="s">
        <v>111</v>
      </c>
      <c r="F33" t="str">
        <f t="shared" si="0"/>
        <v>Les limites infinies (08:38)</v>
      </c>
    </row>
    <row r="34" spans="1:6" x14ac:dyDescent="0.25">
      <c r="A34" s="14" t="s">
        <v>168</v>
      </c>
      <c r="B34" s="7" t="s">
        <v>114</v>
      </c>
      <c r="C34" s="6">
        <v>3.5879629629629629E-3</v>
      </c>
      <c r="D34" s="7" t="s">
        <v>85</v>
      </c>
      <c r="E34" s="8" t="s">
        <v>113</v>
      </c>
      <c r="F34" t="str">
        <f t="shared" si="0"/>
        <v>Les asymptotes verticales et les limites infinies (05:10)</v>
      </c>
    </row>
    <row r="35" spans="1:6" x14ac:dyDescent="0.25">
      <c r="A35" s="14" t="s">
        <v>169</v>
      </c>
      <c r="B35" s="7" t="s">
        <v>116</v>
      </c>
      <c r="C35" s="6">
        <v>5.2893518518518515E-3</v>
      </c>
      <c r="D35" s="7" t="s">
        <v>85</v>
      </c>
      <c r="E35" s="8" t="s">
        <v>115</v>
      </c>
      <c r="F35" t="str">
        <f t="shared" si="0"/>
        <v>Les limites à l'infini (07:37)</v>
      </c>
    </row>
    <row r="36" spans="1:6" x14ac:dyDescent="0.25">
      <c r="A36" s="14" t="s">
        <v>170</v>
      </c>
      <c r="B36" s="7" t="s">
        <v>117</v>
      </c>
      <c r="C36" s="6">
        <v>5.2662037037037035E-3</v>
      </c>
      <c r="D36" s="7" t="s">
        <v>85</v>
      </c>
      <c r="E36" s="8" t="s">
        <v>118</v>
      </c>
      <c r="F36" t="str">
        <f t="shared" si="0"/>
        <v>Les asymptotes horizontales et les limites à l’infini (07:35)</v>
      </c>
    </row>
    <row r="37" spans="1:6" x14ac:dyDescent="0.25">
      <c r="A37" s="14" t="s">
        <v>89</v>
      </c>
      <c r="B37" s="7" t="s">
        <v>120</v>
      </c>
      <c r="C37" s="6">
        <v>4.6412037037037038E-3</v>
      </c>
      <c r="D37" s="7" t="s">
        <v>85</v>
      </c>
      <c r="E37" s="8" t="s">
        <v>121</v>
      </c>
      <c r="F37" t="str">
        <f t="shared" si="0"/>
        <v>Limite d'une fonction polynomiale (06:41)</v>
      </c>
    </row>
    <row r="38" spans="1:6" x14ac:dyDescent="0.25">
      <c r="A38" s="14" t="s">
        <v>89</v>
      </c>
      <c r="B38" s="7" t="s">
        <v>122</v>
      </c>
      <c r="C38" s="6">
        <v>2.9745370370370373E-3</v>
      </c>
      <c r="D38" s="7" t="s">
        <v>85</v>
      </c>
      <c r="E38" s="8" t="s">
        <v>123</v>
      </c>
      <c r="F38" t="str">
        <f>B38&amp;" ("&amp;TEXT(C38,"mm:ss")&amp;")"</f>
        <v>Limite d'une fonction algébrique - Série d'exemples 1 (04:17)</v>
      </c>
    </row>
    <row r="39" spans="1:6" x14ac:dyDescent="0.25">
      <c r="A39" s="14" t="s">
        <v>89</v>
      </c>
      <c r="B39" s="7" t="s">
        <v>124</v>
      </c>
      <c r="C39" s="6">
        <v>2.3148148148148151E-3</v>
      </c>
      <c r="D39" s="7" t="s">
        <v>85</v>
      </c>
      <c r="E39" s="8" t="s">
        <v>125</v>
      </c>
      <c r="F39" t="str">
        <f t="shared" si="0"/>
        <v>Limite d'une fonction algébrique - Série d'exemples 2 (03:20)</v>
      </c>
    </row>
    <row r="40" spans="1:6" x14ac:dyDescent="0.25">
      <c r="A40" s="14" t="s">
        <v>90</v>
      </c>
      <c r="B40" s="7" t="s">
        <v>126</v>
      </c>
      <c r="C40" s="6">
        <v>6.1921296296296299E-3</v>
      </c>
      <c r="D40" s="7" t="s">
        <v>85</v>
      </c>
      <c r="E40" s="8" t="s">
        <v>127</v>
      </c>
      <c r="F40" t="str">
        <f t="shared" si="0"/>
        <v>Limite de la forme c/0 (08:55)</v>
      </c>
    </row>
    <row r="41" spans="1:6" x14ac:dyDescent="0.25">
      <c r="A41" s="14" t="s">
        <v>91</v>
      </c>
      <c r="B41" s="7" t="s">
        <v>128</v>
      </c>
      <c r="C41" s="6">
        <v>5.8680555555555543E-3</v>
      </c>
      <c r="D41" s="7" t="s">
        <v>85</v>
      </c>
      <c r="E41" s="8" t="s">
        <v>129</v>
      </c>
      <c r="F41" t="str">
        <f t="shared" si="0"/>
        <v>Arithmétique de l'infini (08:27)</v>
      </c>
    </row>
    <row r="42" spans="1:6" x14ac:dyDescent="0.25">
      <c r="A42" s="14" t="s">
        <v>91</v>
      </c>
      <c r="B42" s="7" t="s">
        <v>131</v>
      </c>
      <c r="C42" s="6">
        <v>3.9930555555555561E-3</v>
      </c>
      <c r="D42" s="7" t="s">
        <v>85</v>
      </c>
      <c r="E42" s="8" t="s">
        <v>130</v>
      </c>
      <c r="F42" t="str">
        <f>B42&amp;" ("&amp;TEXT(C42,"mm:ss")&amp;")"</f>
        <v>Propriétés des limites à l’infini (05:45)</v>
      </c>
    </row>
    <row r="43" spans="1:6" x14ac:dyDescent="0.25">
      <c r="A43" s="14" t="s">
        <v>171</v>
      </c>
      <c r="B43" s="7" t="s">
        <v>132</v>
      </c>
      <c r="C43" s="6">
        <v>5.5902777777777782E-3</v>
      </c>
      <c r="D43" s="7" t="s">
        <v>85</v>
      </c>
      <c r="E43" s="8" t="s">
        <v>133</v>
      </c>
      <c r="F43" t="str">
        <f t="shared" si="0"/>
        <v>Évaluation de la limite d'une forme indéterminée 0/0 - Fonction rationnelle (08:03)</v>
      </c>
    </row>
    <row r="44" spans="1:6" x14ac:dyDescent="0.25">
      <c r="A44" s="14" t="s">
        <v>171</v>
      </c>
      <c r="B44" s="7" t="s">
        <v>134</v>
      </c>
      <c r="C44" s="6">
        <v>4.8495370370370368E-3</v>
      </c>
      <c r="D44" s="7" t="s">
        <v>85</v>
      </c>
      <c r="E44" s="8" t="s">
        <v>135</v>
      </c>
      <c r="F44" t="str">
        <f t="shared" si="0"/>
        <v>Évaluation de la limite d'une forme indéterminée 0/0 - Division euclidienne (06:59)</v>
      </c>
    </row>
    <row r="45" spans="1:6" x14ac:dyDescent="0.25">
      <c r="A45" s="14" t="s">
        <v>171</v>
      </c>
      <c r="B45" s="7" t="s">
        <v>136</v>
      </c>
      <c r="C45" s="6">
        <v>5.0578703703703706E-3</v>
      </c>
      <c r="D45" s="7" t="s">
        <v>85</v>
      </c>
      <c r="E45" s="8" t="s">
        <v>137</v>
      </c>
      <c r="F45" t="str">
        <f t="shared" si="0"/>
        <v>Évaluation de la limite d'une forme indéterminée 0/0 - Fonction contenant une racine carrée (07:17)</v>
      </c>
    </row>
    <row r="46" spans="1:6" x14ac:dyDescent="0.25">
      <c r="A46" s="14" t="s">
        <v>171</v>
      </c>
      <c r="B46" s="7" t="s">
        <v>138</v>
      </c>
      <c r="C46" s="6">
        <v>3.530092592592592E-3</v>
      </c>
      <c r="D46" s="7" t="s">
        <v>85</v>
      </c>
      <c r="E46" s="8" t="s">
        <v>139</v>
      </c>
      <c r="F46" t="str">
        <f t="shared" si="0"/>
        <v>Évaluation de la limite d'une forme indéterminée 0/0 - Fraction complexe (05:05)</v>
      </c>
    </row>
    <row r="47" spans="1:6" x14ac:dyDescent="0.25">
      <c r="A47" s="14" t="s">
        <v>172</v>
      </c>
      <c r="B47" s="7" t="s">
        <v>140</v>
      </c>
      <c r="C47" s="6">
        <v>3.8773148148148143E-3</v>
      </c>
      <c r="D47" s="7" t="s">
        <v>85</v>
      </c>
      <c r="E47" s="8" t="s">
        <v>141</v>
      </c>
      <c r="F47" t="str">
        <f t="shared" si="0"/>
        <v>Évaluation de la limite d'une forme indéterminée infini/infini - Fonction rationnelle 1 (05:35)</v>
      </c>
    </row>
    <row r="48" spans="1:6" x14ac:dyDescent="0.25">
      <c r="A48" s="14" t="s">
        <v>172</v>
      </c>
      <c r="B48" s="7" t="s">
        <v>142</v>
      </c>
      <c r="C48" s="6">
        <v>3.9236111111111112E-3</v>
      </c>
      <c r="D48" s="7" t="s">
        <v>85</v>
      </c>
      <c r="E48" s="8" t="s">
        <v>143</v>
      </c>
      <c r="F48" t="str">
        <f t="shared" si="0"/>
        <v>Évaluation de la limite d'une forme indéterminée infini/infini - Fonction rationnelle 2 (05:39)</v>
      </c>
    </row>
    <row r="49" spans="1:6" x14ac:dyDescent="0.25">
      <c r="A49" s="14" t="s">
        <v>172</v>
      </c>
      <c r="B49" s="7" t="s">
        <v>144</v>
      </c>
      <c r="C49" s="6">
        <v>6.4814814814814813E-3</v>
      </c>
      <c r="D49" s="7" t="s">
        <v>85</v>
      </c>
      <c r="E49" s="8" t="s">
        <v>145</v>
      </c>
      <c r="F49" t="str">
        <f t="shared" si="0"/>
        <v>Évaluation de la limite d'une forme indéterminée infini/infini - Fonction racine carrée (09:20)</v>
      </c>
    </row>
    <row r="50" spans="1:6" x14ac:dyDescent="0.25">
      <c r="A50" s="14" t="s">
        <v>92</v>
      </c>
      <c r="B50" s="7" t="s">
        <v>146</v>
      </c>
      <c r="C50" s="6">
        <v>5.8333333333333336E-3</v>
      </c>
      <c r="D50" s="7" t="s">
        <v>85</v>
      </c>
      <c r="E50" s="8" t="s">
        <v>147</v>
      </c>
      <c r="F50" t="str">
        <f t="shared" si="0"/>
        <v>La continuité en un point d’une fonction - Définition (08:24)</v>
      </c>
    </row>
    <row r="51" spans="1:6" x14ac:dyDescent="0.25">
      <c r="A51" s="7" t="s">
        <v>150</v>
      </c>
      <c r="B51" s="7" t="s">
        <v>148</v>
      </c>
      <c r="C51" s="6">
        <v>5.138888888888889E-3</v>
      </c>
      <c r="D51" s="7" t="s">
        <v>85</v>
      </c>
      <c r="E51" s="8" t="s">
        <v>149</v>
      </c>
      <c r="F51" t="str">
        <f t="shared" si="0"/>
        <v>Calcul de la pente d’une droite sécante et taux de variation moyen (07:24)</v>
      </c>
    </row>
    <row r="52" spans="1:6" x14ac:dyDescent="0.25">
      <c r="A52" s="7" t="s">
        <v>151</v>
      </c>
      <c r="B52" s="7" t="s">
        <v>152</v>
      </c>
      <c r="C52" s="6">
        <v>6.6435185185185182E-3</v>
      </c>
      <c r="D52" s="7" t="s">
        <v>85</v>
      </c>
      <c r="E52" s="8" t="s">
        <v>153</v>
      </c>
      <c r="F52" t="str">
        <f t="shared" si="0"/>
        <v>Calcul de la pente d’une droite tangente et taux de variation instantané (09:34)</v>
      </c>
    </row>
    <row r="53" spans="1:6" x14ac:dyDescent="0.25">
      <c r="A53" s="7" t="s">
        <v>151</v>
      </c>
      <c r="B53" s="7" t="s">
        <v>154</v>
      </c>
      <c r="C53" s="6">
        <v>5.8333333333333336E-3</v>
      </c>
      <c r="D53" s="7" t="s">
        <v>85</v>
      </c>
      <c r="E53" s="8" t="s">
        <v>155</v>
      </c>
      <c r="F53" t="str">
        <f t="shared" si="0"/>
        <v>Calcul de la pente d'une droite tangente et du taux de variation instantané - Exemples (08:24)</v>
      </c>
    </row>
    <row r="54" spans="1:6" x14ac:dyDescent="0.25">
      <c r="A54" s="7" t="s">
        <v>151</v>
      </c>
      <c r="B54" s="7" t="s">
        <v>156</v>
      </c>
      <c r="C54" s="6">
        <v>6.122685185185185E-3</v>
      </c>
      <c r="D54" s="7" t="s">
        <v>85</v>
      </c>
      <c r="E54" s="8" t="s">
        <v>157</v>
      </c>
      <c r="F54" t="str">
        <f t="shared" si="0"/>
        <v>Calcul d’un taux de variation instantané – À l’aide d’une définition alternative (08:49)</v>
      </c>
    </row>
    <row r="55" spans="1:6" x14ac:dyDescent="0.25">
      <c r="A55" s="7" t="s">
        <v>93</v>
      </c>
      <c r="B55" s="7" t="s">
        <v>159</v>
      </c>
      <c r="C55" s="6">
        <v>6.3078703703703708E-3</v>
      </c>
      <c r="D55" s="11" t="s">
        <v>119</v>
      </c>
      <c r="E55" s="8" t="s">
        <v>158</v>
      </c>
      <c r="F55" t="str">
        <f t="shared" si="0"/>
        <v>Dérivée d'une fonction (09:05)</v>
      </c>
    </row>
    <row r="56" spans="1:6" x14ac:dyDescent="0.25">
      <c r="A56" s="9" t="s">
        <v>93</v>
      </c>
      <c r="B56" s="9" t="s">
        <v>189</v>
      </c>
      <c r="C56" s="10"/>
      <c r="D56" s="9"/>
      <c r="E56" s="9"/>
    </row>
    <row r="57" spans="1:6" x14ac:dyDescent="0.25">
      <c r="A57" s="9" t="s">
        <v>94</v>
      </c>
      <c r="B57" s="9" t="s">
        <v>160</v>
      </c>
      <c r="C57" s="10"/>
      <c r="D57" s="9"/>
      <c r="E57" s="9"/>
    </row>
    <row r="58" spans="1:6" x14ac:dyDescent="0.25">
      <c r="A58" s="7" t="s">
        <v>175</v>
      </c>
      <c r="B58" s="7" t="s">
        <v>174</v>
      </c>
      <c r="C58" s="6">
        <v>1.9097222222222222E-3</v>
      </c>
      <c r="D58" s="7" t="s">
        <v>85</v>
      </c>
      <c r="E58" s="8" t="s">
        <v>184</v>
      </c>
      <c r="F58" t="str">
        <f t="shared" ref="F58:F64" si="1">B58&amp;" ("&amp;TEXT(C58,"mm:ss")&amp;")"</f>
        <v>Dérivée d’une fonction constante (02:45)</v>
      </c>
    </row>
    <row r="59" spans="1:6" x14ac:dyDescent="0.25">
      <c r="A59" s="7" t="s">
        <v>180</v>
      </c>
      <c r="B59" s="7" t="s">
        <v>176</v>
      </c>
      <c r="C59" s="6">
        <v>2.3611111111111111E-3</v>
      </c>
      <c r="D59" s="7" t="s">
        <v>85</v>
      </c>
      <c r="E59" s="8" t="s">
        <v>185</v>
      </c>
      <c r="F59" t="str">
        <f t="shared" si="1"/>
        <v>Dérivée du produit d’une constante par une fonction (03:24)</v>
      </c>
    </row>
    <row r="60" spans="1:6" x14ac:dyDescent="0.25">
      <c r="A60" s="7" t="s">
        <v>181</v>
      </c>
      <c r="B60" s="7" t="s">
        <v>177</v>
      </c>
      <c r="C60" s="6">
        <v>2.4189814814814816E-3</v>
      </c>
      <c r="D60" s="7" t="s">
        <v>85</v>
      </c>
      <c r="E60" s="8" t="s">
        <v>186</v>
      </c>
      <c r="F60" t="str">
        <f t="shared" si="1"/>
        <v>Dérivée d’une somme de fonctions (03:29)</v>
      </c>
    </row>
    <row r="61" spans="1:6" x14ac:dyDescent="0.25">
      <c r="A61" s="7" t="s">
        <v>182</v>
      </c>
      <c r="B61" s="7" t="s">
        <v>178</v>
      </c>
      <c r="C61" s="6">
        <v>4.4212962962962956E-3</v>
      </c>
      <c r="D61" s="7" t="s">
        <v>85</v>
      </c>
      <c r="E61" s="8" t="s">
        <v>187</v>
      </c>
      <c r="F61" t="str">
        <f t="shared" si="1"/>
        <v>Dérivée d’un produit de fonctions (06:22)</v>
      </c>
    </row>
    <row r="62" spans="1:6" x14ac:dyDescent="0.25">
      <c r="A62" s="7" t="s">
        <v>183</v>
      </c>
      <c r="B62" s="7" t="s">
        <v>179</v>
      </c>
      <c r="C62" s="6">
        <v>3.8078703703703707E-3</v>
      </c>
      <c r="D62" s="7" t="s">
        <v>85</v>
      </c>
      <c r="E62" s="8" t="s">
        <v>188</v>
      </c>
      <c r="F62" t="str">
        <f t="shared" si="1"/>
        <v>Dérivée d’un quotient de fonctions (05:29)</v>
      </c>
    </row>
    <row r="63" spans="1:6" x14ac:dyDescent="0.25">
      <c r="A63" s="7" t="s">
        <v>173</v>
      </c>
      <c r="B63" s="7" t="s">
        <v>162</v>
      </c>
      <c r="C63" s="6">
        <v>5.9143518518518521E-3</v>
      </c>
      <c r="D63" s="7" t="s">
        <v>85</v>
      </c>
      <c r="E63" s="8" t="s">
        <v>161</v>
      </c>
      <c r="F63" t="str">
        <f t="shared" si="1"/>
        <v>Dérivée d’une puissance - Preuve (08:31)</v>
      </c>
    </row>
    <row r="64" spans="1:6" x14ac:dyDescent="0.25">
      <c r="A64" s="7" t="s">
        <v>173</v>
      </c>
      <c r="B64" s="7" t="s">
        <v>163</v>
      </c>
      <c r="C64" s="6">
        <v>3.4953703703703705E-3</v>
      </c>
      <c r="D64" s="7" t="s">
        <v>85</v>
      </c>
      <c r="E64" s="8" t="s">
        <v>164</v>
      </c>
      <c r="F64" t="str">
        <f t="shared" si="1"/>
        <v>Dérivée d'une puissance - Exemples (05:02)</v>
      </c>
    </row>
    <row r="65" spans="1:6" x14ac:dyDescent="0.25">
      <c r="A65" s="9" t="s">
        <v>95</v>
      </c>
      <c r="B65" s="9" t="s">
        <v>160</v>
      </c>
      <c r="C65" s="10"/>
      <c r="D65" s="9"/>
      <c r="E65" s="9"/>
    </row>
    <row r="66" spans="1:6" x14ac:dyDescent="0.25">
      <c r="A66" s="9" t="s">
        <v>96</v>
      </c>
      <c r="B66" s="9" t="s">
        <v>160</v>
      </c>
      <c r="C66" s="10"/>
      <c r="D66" s="9"/>
      <c r="E66" s="9"/>
    </row>
    <row r="67" spans="1:6" x14ac:dyDescent="0.25">
      <c r="A67" s="7" t="s">
        <v>97</v>
      </c>
      <c r="B67" s="7" t="s">
        <v>190</v>
      </c>
      <c r="C67" s="6">
        <v>5.5324074074074069E-3</v>
      </c>
      <c r="D67" s="7" t="s">
        <v>85</v>
      </c>
      <c r="E67" s="8" t="s">
        <v>191</v>
      </c>
      <c r="F67" t="str">
        <f t="shared" ref="F67:F68" si="2">B67&amp;" ("&amp;TEXT(C67,"mm:ss")&amp;")"</f>
        <v>Dérivée d'une composée de fonctions dérivables – Dérivation en chaîne (07:58)</v>
      </c>
    </row>
    <row r="68" spans="1:6" x14ac:dyDescent="0.25">
      <c r="A68" s="7" t="s">
        <v>98</v>
      </c>
      <c r="B68" s="7" t="s">
        <v>12</v>
      </c>
      <c r="C68" s="6">
        <v>6.4236111111111117E-3</v>
      </c>
      <c r="D68" s="7" t="s">
        <v>85</v>
      </c>
      <c r="E68" s="8" t="s">
        <v>192</v>
      </c>
      <c r="F68" t="str">
        <f t="shared" si="2"/>
        <v>Dérivation implicite (09:15)</v>
      </c>
    </row>
    <row r="69" spans="1:6" x14ac:dyDescent="0.25">
      <c r="A69" s="11" t="s">
        <v>99</v>
      </c>
      <c r="B69" s="11" t="s">
        <v>193</v>
      </c>
      <c r="C69" s="12"/>
      <c r="D69" s="11"/>
      <c r="E69" s="11"/>
    </row>
    <row r="70" spans="1:6" x14ac:dyDescent="0.25">
      <c r="A70" s="11" t="s">
        <v>100</v>
      </c>
      <c r="B70" s="11" t="s">
        <v>193</v>
      </c>
      <c r="C70" s="12"/>
      <c r="D70" s="11"/>
      <c r="E70" s="11"/>
    </row>
    <row r="71" spans="1:6" x14ac:dyDescent="0.25">
      <c r="A71" s="11" t="s">
        <v>101</v>
      </c>
      <c r="B71" s="11" t="s">
        <v>193</v>
      </c>
      <c r="C71" s="12"/>
      <c r="D71" s="11"/>
      <c r="E71" s="11"/>
    </row>
    <row r="72" spans="1:6" x14ac:dyDescent="0.25">
      <c r="A72" s="11" t="s">
        <v>102</v>
      </c>
      <c r="B72" s="11" t="s">
        <v>193</v>
      </c>
      <c r="C72" s="12"/>
      <c r="D72" s="11"/>
      <c r="E72" s="11"/>
    </row>
    <row r="73" spans="1:6" x14ac:dyDescent="0.25">
      <c r="A73" s="11" t="s">
        <v>103</v>
      </c>
      <c r="B73" s="11" t="s">
        <v>193</v>
      </c>
      <c r="C73" s="12"/>
      <c r="D73" s="11"/>
      <c r="E73" s="11"/>
    </row>
    <row r="74" spans="1:6" x14ac:dyDescent="0.25">
      <c r="A74" s="11" t="s">
        <v>104</v>
      </c>
      <c r="B74" s="11" t="s">
        <v>193</v>
      </c>
      <c r="C74" s="12"/>
      <c r="D74" s="11"/>
      <c r="E74" s="11"/>
    </row>
    <row r="75" spans="1:6" x14ac:dyDescent="0.25">
      <c r="A75" s="11" t="s">
        <v>105</v>
      </c>
      <c r="B75" s="11" t="s">
        <v>193</v>
      </c>
      <c r="C75" s="12"/>
      <c r="D75" s="11"/>
      <c r="E75" s="11"/>
    </row>
    <row r="76" spans="1:6" x14ac:dyDescent="0.25">
      <c r="A76" s="11" t="s">
        <v>106</v>
      </c>
      <c r="B76" s="11" t="s">
        <v>193</v>
      </c>
      <c r="C76" s="12"/>
      <c r="D76" s="11"/>
      <c r="E76" s="11"/>
    </row>
    <row r="78" spans="1:6" x14ac:dyDescent="0.25">
      <c r="A78" t="s">
        <v>194</v>
      </c>
      <c r="B78" t="s">
        <v>194</v>
      </c>
      <c r="C78" s="15">
        <v>3.645833333333333E-3</v>
      </c>
      <c r="D78" t="s">
        <v>85</v>
      </c>
      <c r="E78" t="s">
        <v>195</v>
      </c>
      <c r="F78" t="str">
        <f t="shared" ref="F78:F85" si="3">B78&amp;" ("&amp;TEXT(C78,"mm:ss")&amp;")"</f>
        <v>Fonction exponentielle (05:15)</v>
      </c>
    </row>
    <row r="79" spans="1:6" x14ac:dyDescent="0.25">
      <c r="A79" t="s">
        <v>196</v>
      </c>
      <c r="B79" t="s">
        <v>196</v>
      </c>
      <c r="C79" s="15">
        <v>3.9236111111111112E-3</v>
      </c>
      <c r="D79" t="s">
        <v>85</v>
      </c>
      <c r="E79" t="s">
        <v>197</v>
      </c>
      <c r="F79" t="str">
        <f t="shared" si="3"/>
        <v>Fonction logarithmique (05:39)</v>
      </c>
    </row>
    <row r="80" spans="1:6" x14ac:dyDescent="0.25">
      <c r="A80" t="s">
        <v>198</v>
      </c>
      <c r="B80" t="s">
        <v>198</v>
      </c>
      <c r="C80" s="15">
        <v>6.7013888888888887E-3</v>
      </c>
      <c r="D80" t="s">
        <v>85</v>
      </c>
      <c r="E80" t="s">
        <v>199</v>
      </c>
      <c r="F80" t="str">
        <f t="shared" si="3"/>
        <v>Propriétés des logarithmes - théorie (09:39)</v>
      </c>
    </row>
    <row r="81" spans="1:6" x14ac:dyDescent="0.25">
      <c r="A81" t="s">
        <v>200</v>
      </c>
      <c r="B81" t="s">
        <v>200</v>
      </c>
      <c r="C81" s="15">
        <v>2.8240740740740739E-3</v>
      </c>
      <c r="D81" t="s">
        <v>85</v>
      </c>
      <c r="E81" t="s">
        <v>201</v>
      </c>
      <c r="F81" t="str">
        <f t="shared" si="3"/>
        <v>Propriétés des logarithmes - application (04:04)</v>
      </c>
    </row>
    <row r="82" spans="1:6" x14ac:dyDescent="0.25">
      <c r="A82" t="s">
        <v>202</v>
      </c>
      <c r="B82" t="s">
        <v>202</v>
      </c>
      <c r="C82" s="15">
        <v>5.2430555555555555E-3</v>
      </c>
      <c r="D82" t="s">
        <v>85</v>
      </c>
      <c r="E82" t="s">
        <v>203</v>
      </c>
      <c r="F82" t="str">
        <f t="shared" si="3"/>
        <v>Résolution d'équations logarithmiques (07:33)</v>
      </c>
    </row>
    <row r="83" spans="1:6" x14ac:dyDescent="0.25">
      <c r="A83" t="s">
        <v>204</v>
      </c>
      <c r="B83" t="s">
        <v>204</v>
      </c>
      <c r="C83" s="15">
        <v>5.0810185185185186E-3</v>
      </c>
      <c r="D83" t="s">
        <v>85</v>
      </c>
      <c r="E83" t="s">
        <v>205</v>
      </c>
      <c r="F83" t="str">
        <f t="shared" si="3"/>
        <v>Résolution d'équations exponentielles (07:19)</v>
      </c>
    </row>
    <row r="84" spans="1:6" x14ac:dyDescent="0.25">
      <c r="A84" t="s">
        <v>206</v>
      </c>
      <c r="B84" t="s">
        <v>206</v>
      </c>
      <c r="C84" s="15">
        <v>6.2615740740740748E-3</v>
      </c>
      <c r="D84" t="s">
        <v>85</v>
      </c>
      <c r="E84" t="s">
        <v>207</v>
      </c>
      <c r="F84" t="str">
        <f t="shared" si="3"/>
        <v>La dérivée de la fonction logarithmique (09:01)</v>
      </c>
    </row>
    <row r="85" spans="1:6" x14ac:dyDescent="0.25">
      <c r="A85" t="s">
        <v>208</v>
      </c>
      <c r="B85" t="s">
        <v>208</v>
      </c>
      <c r="C85" s="15">
        <v>3.2638888888888891E-3</v>
      </c>
      <c r="D85" t="s">
        <v>85</v>
      </c>
      <c r="E85" t="s">
        <v>209</v>
      </c>
      <c r="F85" t="str">
        <f t="shared" si="3"/>
        <v>La dérivée de la fonction exponentielle (04:42)</v>
      </c>
    </row>
    <row r="88" spans="1:6" x14ac:dyDescent="0.25">
      <c r="A88" t="s">
        <v>210</v>
      </c>
      <c r="B88" t="s">
        <v>210</v>
      </c>
      <c r="C88" s="15">
        <v>8.1481481481481474E-3</v>
      </c>
      <c r="D88" t="s">
        <v>211</v>
      </c>
      <c r="E88" t="s">
        <v>212</v>
      </c>
      <c r="F88" t="str">
        <f t="shared" ref="F88:F93" si="4">B88&amp;" ("&amp;TEXT(C88,"mm:ss")&amp;")"</f>
        <v>Le cercle trigonométrique (11:44)</v>
      </c>
    </row>
    <row r="89" spans="1:6" x14ac:dyDescent="0.25">
      <c r="A89" t="s">
        <v>213</v>
      </c>
      <c r="B89" t="s">
        <v>213</v>
      </c>
      <c r="C89" s="15">
        <v>4.3518518518518515E-3</v>
      </c>
      <c r="D89" t="s">
        <v>85</v>
      </c>
      <c r="E89" t="s">
        <v>214</v>
      </c>
      <c r="F89" t="str">
        <f t="shared" si="4"/>
        <v>Limite d'une fonction trigonométrique (06:16)</v>
      </c>
    </row>
    <row r="90" spans="1:6" x14ac:dyDescent="0.25">
      <c r="A90" t="s">
        <v>215</v>
      </c>
      <c r="B90" t="s">
        <v>215</v>
      </c>
      <c r="C90" s="15">
        <v>7.037037037037037E-3</v>
      </c>
      <c r="D90" t="s">
        <v>85</v>
      </c>
      <c r="E90" t="s">
        <v>216</v>
      </c>
      <c r="F90" t="str">
        <f t="shared" si="4"/>
        <v>Calcul d'une limite particulière (10:08)</v>
      </c>
    </row>
    <row r="91" spans="1:6" x14ac:dyDescent="0.25">
      <c r="A91" t="s">
        <v>217</v>
      </c>
      <c r="B91" t="s">
        <v>217</v>
      </c>
      <c r="C91" s="15">
        <v>3.9004629629629632E-3</v>
      </c>
      <c r="D91" t="s">
        <v>85</v>
      </c>
      <c r="E91" t="s">
        <v>218</v>
      </c>
      <c r="F91" t="str">
        <f t="shared" si="4"/>
        <v>Dérivée de la fonction sinus (05:37)</v>
      </c>
    </row>
    <row r="92" spans="1:6" x14ac:dyDescent="0.25">
      <c r="A92" t="s">
        <v>219</v>
      </c>
      <c r="B92" t="s">
        <v>219</v>
      </c>
      <c r="C92" s="15">
        <v>2.3148148148148151E-3</v>
      </c>
      <c r="D92" t="s">
        <v>85</v>
      </c>
      <c r="E92" t="s">
        <v>220</v>
      </c>
      <c r="F92" t="str">
        <f t="shared" si="4"/>
        <v>Dérivée de la fonction cosinus (03:20)</v>
      </c>
    </row>
    <row r="93" spans="1:6" x14ac:dyDescent="0.25">
      <c r="A93" t="s">
        <v>221</v>
      </c>
      <c r="B93" t="s">
        <v>221</v>
      </c>
      <c r="C93" s="15">
        <v>4.2245370370370371E-3</v>
      </c>
      <c r="D93" t="s">
        <v>85</v>
      </c>
      <c r="E93" t="s">
        <v>222</v>
      </c>
      <c r="F93" t="str">
        <f t="shared" si="4"/>
        <v>Dérivée des autres fonctions trigonométriques (06:05)</v>
      </c>
    </row>
  </sheetData>
  <sortState xmlns:xlrd2="http://schemas.microsoft.com/office/spreadsheetml/2017/richdata2" ref="A58:E64">
    <sortCondition ref="A58:A64"/>
  </sortState>
  <hyperlinks>
    <hyperlink ref="E17" r:id="rId1" xr:uid="{00000000-0004-0000-0600-000000000000}"/>
    <hyperlink ref="E19" r:id="rId2" xr:uid="{00000000-0004-0000-0600-000001000000}"/>
    <hyperlink ref="E18" r:id="rId3" xr:uid="{00000000-0004-0000-0600-000002000000}"/>
    <hyperlink ref="E2" r:id="rId4" xr:uid="{00000000-0004-0000-0600-000003000000}"/>
    <hyperlink ref="E3" r:id="rId5" xr:uid="{00000000-0004-0000-0600-000004000000}"/>
    <hyperlink ref="E4" r:id="rId6" xr:uid="{00000000-0004-0000-0600-000005000000}"/>
    <hyperlink ref="E5" r:id="rId7" xr:uid="{00000000-0004-0000-0600-000006000000}"/>
    <hyperlink ref="E6" r:id="rId8" xr:uid="{00000000-0004-0000-0600-000007000000}"/>
    <hyperlink ref="E7" r:id="rId9" xr:uid="{00000000-0004-0000-0600-000008000000}"/>
    <hyperlink ref="E8" r:id="rId10" xr:uid="{00000000-0004-0000-0600-000009000000}"/>
    <hyperlink ref="E9" r:id="rId11" xr:uid="{00000000-0004-0000-0600-00000A000000}"/>
    <hyperlink ref="E10" r:id="rId12" xr:uid="{00000000-0004-0000-0600-00000B000000}"/>
    <hyperlink ref="E11" r:id="rId13" xr:uid="{00000000-0004-0000-0600-00000C000000}"/>
    <hyperlink ref="E12" r:id="rId14" xr:uid="{00000000-0004-0000-0600-00000D000000}"/>
    <hyperlink ref="E13" r:id="rId15" xr:uid="{00000000-0004-0000-0600-00000E000000}"/>
    <hyperlink ref="E14" r:id="rId16" xr:uid="{00000000-0004-0000-0600-00000F000000}"/>
    <hyperlink ref="E15" r:id="rId17" xr:uid="{00000000-0004-0000-0600-000010000000}"/>
    <hyperlink ref="E16" r:id="rId18" xr:uid="{00000000-0004-0000-0600-000011000000}"/>
    <hyperlink ref="E29" r:id="rId19" xr:uid="{00000000-0004-0000-0600-000012000000}"/>
    <hyperlink ref="E26" r:id="rId20" xr:uid="{00000000-0004-0000-0600-000013000000}"/>
    <hyperlink ref="E20" r:id="rId21" xr:uid="{00000000-0004-0000-0600-000014000000}"/>
    <hyperlink ref="E21" r:id="rId22" xr:uid="{00000000-0004-0000-0600-000015000000}"/>
    <hyperlink ref="E22" r:id="rId23" xr:uid="{00000000-0004-0000-0600-000016000000}"/>
    <hyperlink ref="E23" r:id="rId24" xr:uid="{00000000-0004-0000-0600-000017000000}"/>
    <hyperlink ref="E24" r:id="rId25" xr:uid="{00000000-0004-0000-0600-000018000000}"/>
    <hyperlink ref="E25" r:id="rId26" xr:uid="{00000000-0004-0000-0600-000019000000}"/>
    <hyperlink ref="E27" r:id="rId27" xr:uid="{00000000-0004-0000-0600-00001A000000}"/>
    <hyperlink ref="E28" r:id="rId28" xr:uid="{00000000-0004-0000-0600-00001B000000}"/>
    <hyperlink ref="E31" r:id="rId29" xr:uid="{00000000-0004-0000-0600-00001C000000}"/>
    <hyperlink ref="E32" r:id="rId30" xr:uid="{00000000-0004-0000-0600-00001D000000}"/>
    <hyperlink ref="E33" r:id="rId31" xr:uid="{00000000-0004-0000-0600-00001E000000}"/>
    <hyperlink ref="E34" r:id="rId32" xr:uid="{00000000-0004-0000-0600-00001F000000}"/>
    <hyperlink ref="E35" r:id="rId33" xr:uid="{00000000-0004-0000-0600-000020000000}"/>
    <hyperlink ref="E36" r:id="rId34" xr:uid="{00000000-0004-0000-0600-000021000000}"/>
    <hyperlink ref="E38" r:id="rId35" xr:uid="{00000000-0004-0000-0600-000022000000}"/>
    <hyperlink ref="E37" r:id="rId36" xr:uid="{00000000-0004-0000-0600-000023000000}"/>
    <hyperlink ref="E39" r:id="rId37" xr:uid="{00000000-0004-0000-0600-000024000000}"/>
    <hyperlink ref="E40" r:id="rId38" xr:uid="{00000000-0004-0000-0600-000025000000}"/>
    <hyperlink ref="E41" r:id="rId39" xr:uid="{00000000-0004-0000-0600-000026000000}"/>
    <hyperlink ref="E42" r:id="rId40" xr:uid="{00000000-0004-0000-0600-000027000000}"/>
    <hyperlink ref="E43" r:id="rId41" xr:uid="{00000000-0004-0000-0600-000028000000}"/>
    <hyperlink ref="E44" r:id="rId42" xr:uid="{00000000-0004-0000-0600-000029000000}"/>
    <hyperlink ref="E45" r:id="rId43" xr:uid="{00000000-0004-0000-0600-00002A000000}"/>
    <hyperlink ref="E46" r:id="rId44" xr:uid="{00000000-0004-0000-0600-00002B000000}"/>
    <hyperlink ref="E47" r:id="rId45" xr:uid="{00000000-0004-0000-0600-00002C000000}"/>
    <hyperlink ref="E48" r:id="rId46" xr:uid="{00000000-0004-0000-0600-00002D000000}"/>
    <hyperlink ref="E49" r:id="rId47" xr:uid="{00000000-0004-0000-0600-00002E000000}"/>
    <hyperlink ref="E50" r:id="rId48" xr:uid="{00000000-0004-0000-0600-00002F000000}"/>
    <hyperlink ref="E51" r:id="rId49" xr:uid="{00000000-0004-0000-0600-000030000000}"/>
    <hyperlink ref="E52" r:id="rId50" xr:uid="{00000000-0004-0000-0600-000031000000}"/>
    <hyperlink ref="E53" r:id="rId51" xr:uid="{00000000-0004-0000-0600-000032000000}"/>
    <hyperlink ref="E54" r:id="rId52" xr:uid="{00000000-0004-0000-0600-000033000000}"/>
    <hyperlink ref="E55" r:id="rId53" xr:uid="{00000000-0004-0000-0600-000034000000}"/>
    <hyperlink ref="E63" r:id="rId54" xr:uid="{00000000-0004-0000-0600-000035000000}"/>
    <hyperlink ref="E64" r:id="rId55" xr:uid="{00000000-0004-0000-0600-000036000000}"/>
    <hyperlink ref="E58" r:id="rId56" xr:uid="{00000000-0004-0000-0600-000037000000}"/>
    <hyperlink ref="E59" r:id="rId57" xr:uid="{00000000-0004-0000-0600-000038000000}"/>
    <hyperlink ref="E60" r:id="rId58" xr:uid="{00000000-0004-0000-0600-000039000000}"/>
    <hyperlink ref="E61" r:id="rId59" xr:uid="{00000000-0004-0000-0600-00003A000000}"/>
    <hyperlink ref="E62" r:id="rId60" xr:uid="{00000000-0004-0000-0600-00003B000000}"/>
    <hyperlink ref="E67" r:id="rId61" xr:uid="{00000000-0004-0000-0600-00003C000000}"/>
    <hyperlink ref="E68" r:id="rId62" xr:uid="{00000000-0004-0000-0600-00003D000000}"/>
  </hyperlinks>
  <pageMargins left="0.7" right="0.7" top="0.75" bottom="0.75" header="0.3" footer="0.3"/>
  <pageSetup orientation="portrait" horizontalDpi="0" verticalDpi="0" r:id="rId6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2025-1 (02412)</vt:lpstr>
      <vt:lpstr>Parties</vt:lpstr>
      <vt:lpstr>2021-1 Vidéos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Bérubé</dc:creator>
  <cp:lastModifiedBy>Sylvain Bérubé</cp:lastModifiedBy>
  <cp:lastPrinted>2018-04-25T19:54:40Z</cp:lastPrinted>
  <dcterms:created xsi:type="dcterms:W3CDTF">2018-04-17T04:47:48Z</dcterms:created>
  <dcterms:modified xsi:type="dcterms:W3CDTF">2025-12-18T09:28:42Z</dcterms:modified>
</cp:coreProperties>
</file>